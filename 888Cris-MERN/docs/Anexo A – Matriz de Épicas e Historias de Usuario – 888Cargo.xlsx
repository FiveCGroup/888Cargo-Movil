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User\Documents\Docs 888Cargo\Documentacion Tecnica\"/>
    </mc:Choice>
  </mc:AlternateContent>
  <bookViews>
    <workbookView xWindow="0" yWindow="0" windowWidth="15345" windowHeight="3975" activeTab="2"/>
  </bookViews>
  <sheets>
    <sheet name="Matriz Visión" sheetId="1" r:id="rId1"/>
    <sheet name="Epicas" sheetId="2" r:id="rId2"/>
    <sheet name="HU + Criterios Aceptacion" sheetId="3" r:id="rId3"/>
  </sheets>
  <definedNames>
    <definedName name="_xlnm._FilterDatabase" localSheetId="2" hidden="1">'HU + Criterios Aceptacion'!$A$2:$P$150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3" i="3" l="1"/>
  <c r="K70" i="3" l="1"/>
  <c r="K40" i="3"/>
  <c r="K11" i="3" l="1"/>
  <c r="K80" i="3" l="1"/>
  <c r="K96" i="3"/>
  <c r="K91" i="3"/>
  <c r="K83" i="3"/>
  <c r="K154" i="3"/>
  <c r="K151" i="3"/>
  <c r="K148" i="3"/>
  <c r="K146" i="3"/>
  <c r="K143" i="3"/>
  <c r="K141" i="3"/>
  <c r="K138" i="3"/>
  <c r="K135" i="3"/>
  <c r="K132" i="3"/>
  <c r="K127" i="3"/>
  <c r="K124" i="3"/>
  <c r="K121" i="3"/>
  <c r="K118" i="3"/>
  <c r="K116" i="3"/>
  <c r="K111" i="3"/>
  <c r="K109" i="3"/>
  <c r="K107" i="3"/>
  <c r="K105" i="3"/>
  <c r="K103" i="3"/>
  <c r="K68" i="3"/>
  <c r="K75" i="3"/>
  <c r="K73" i="3"/>
  <c r="K62" i="3"/>
  <c r="K64" i="3"/>
  <c r="K3" i="3"/>
  <c r="K6" i="3"/>
  <c r="K9" i="3"/>
  <c r="K15" i="3"/>
  <c r="K19" i="3"/>
  <c r="K22" i="3"/>
  <c r="K25" i="3"/>
  <c r="K27" i="3"/>
  <c r="K31" i="3"/>
  <c r="K34" i="3"/>
  <c r="K36" i="3"/>
  <c r="K38" i="3"/>
  <c r="K43" i="3"/>
  <c r="K47" i="3"/>
  <c r="K50" i="3"/>
  <c r="K53" i="3"/>
  <c r="K56" i="3"/>
  <c r="K59" i="3"/>
  <c r="K129" i="3" l="1"/>
  <c r="K61" i="3"/>
  <c r="K66" i="3"/>
  <c r="K67" i="3"/>
  <c r="K78" i="3"/>
</calcChain>
</file>

<file path=xl/comments1.xml><?xml version="1.0" encoding="utf-8"?>
<comments xmlns="http://schemas.openxmlformats.org/spreadsheetml/2006/main">
  <authors>
    <author/>
  </authors>
  <commentList>
    <comment ref="C1" authorId="0" shapeId="0">
      <text>
        <r>
          <rPr>
            <sz val="11"/>
            <color theme="1"/>
            <rFont val="Calibri"/>
            <family val="2"/>
            <scheme val="minor"/>
          </rPr>
          <t>======
ID#AAAAb2O6VEA
Usuario    (2022-07-05 15:50:57)
Objetivo general del proyecto / App</t>
        </r>
      </text>
    </comment>
  </commentList>
</comments>
</file>

<file path=xl/sharedStrings.xml><?xml version="1.0" encoding="utf-8"?>
<sst xmlns="http://schemas.openxmlformats.org/spreadsheetml/2006/main" count="1337" uniqueCount="884">
  <si>
    <t>Nombre del proyecto:</t>
  </si>
  <si>
    <t>Visión del proyecto:</t>
  </si>
  <si>
    <t>888Cargo</t>
  </si>
  <si>
    <t>Usuarios</t>
  </si>
  <si>
    <t>Necesidades</t>
  </si>
  <si>
    <t>Funcionalidades</t>
  </si>
  <si>
    <t>Beneficios</t>
  </si>
  <si>
    <t>Consultar estado de su carga</t>
  </si>
  <si>
    <t>Visualizar la trazabilidad de sus paquetes, con filtros por estado, destino, etc.</t>
  </si>
  <si>
    <t>Subir packing list</t>
  </si>
  <si>
    <t>Cargar los detalles de los productos que enviará al sistema.</t>
  </si>
  <si>
    <t>Generar etiquetas</t>
  </si>
  <si>
    <t>Crear códigos únicos para identificar sus paquetes (Shipping Mark).</t>
  </si>
  <si>
    <t>Visualizar sus cargas</t>
  </si>
  <si>
    <t>Acceso restringido para ver solo la información de sus propias cargas.</t>
  </si>
  <si>
    <t>Escanear código QR o de barras</t>
  </si>
  <si>
    <t>Validar los paquetes mediante escaneo desde el celular.</t>
  </si>
  <si>
    <t>Confirmar acciones</t>
  </si>
  <si>
    <t>Validar operaciones como envío, recepción o división de paquetes.</t>
  </si>
  <si>
    <t>Ver reportes de sus envíos</t>
  </si>
  <si>
    <t>Obtener reportes o resúmenes (PDF/Excel) de sus movimientos y entregas.</t>
  </si>
  <si>
    <t>Autenticarse y gestionar su sesión</t>
  </si>
  <si>
    <t>Iniciar sesión, cerrar sesión, recuperar contraseña y gestionar su cuenta.</t>
  </si>
  <si>
    <t>Recibir notificaciones</t>
  </si>
  <si>
    <t>Obtener alertas por correo sobre el estado de su carga o movimientos importantes.</t>
  </si>
  <si>
    <t>Cliente</t>
  </si>
  <si>
    <t>Validar carga</t>
  </si>
  <si>
    <t>Comparar físicamente la carga recibida con el packing list cargado por el cliente.</t>
  </si>
  <si>
    <t>Recibir carga</t>
  </si>
  <si>
    <t>Registrar y marcar como “recibida” la carga que llega al punto logístico.</t>
  </si>
  <si>
    <t>Generar una constancia de recepción que no pueda alterarse (por seguridad).</t>
  </si>
  <si>
    <t>Separar un paquete en varias partes, manteniendo su trazabilidad.</t>
  </si>
  <si>
    <t>Consolidar cargas</t>
  </si>
  <si>
    <t>Unir varias cargas en un único Packing List Master (por eficiencia logística).</t>
  </si>
  <si>
    <t>Escanear códigos (QR / barras)</t>
  </si>
  <si>
    <t>Usar escaneo para registrar entradas, salidas o validaciones dentro del almacén.</t>
  </si>
  <si>
    <t>Confirmar acciones críticas</t>
  </si>
  <si>
    <t>Validar recepción, consolidación o reintegros mediante confirmaciones obligatorias.</t>
  </si>
  <si>
    <t>Filtrar por estado, destino, cliente, etc.</t>
  </si>
  <si>
    <t>Buscar cargas específicas por diferentes criterios para facilitar su gestión.</t>
  </si>
  <si>
    <t>Ser alertado sobre llegadas, errores o solicitudes del cliente o administrador.</t>
  </si>
  <si>
    <t>Gestionar etiquetas</t>
  </si>
  <si>
    <t>Imprimir o volver a generar etiquetas físicas para los paquetes.</t>
  </si>
  <si>
    <t>Iniciar sesión, cerrar sesión y recuperar contraseña.</t>
  </si>
  <si>
    <t>Emitir recibos</t>
  </si>
  <si>
    <t>Dividir y reintegrar paquetes</t>
  </si>
  <si>
    <t>Bodega China/Colombia</t>
  </si>
  <si>
    <t>Gestionar roles</t>
  </si>
  <si>
    <t>Crear, editar, activar o inactivar roles (cliente, bodega, admin, etc).</t>
  </si>
  <si>
    <t>Asignar usuarios y sus roles</t>
  </si>
  <si>
    <t>Registrar nuevos usuarios y asignarles sus permisos y áreas correspondientes.</t>
  </si>
  <si>
    <t>Ver y cerrar sesiones activas</t>
  </si>
  <si>
    <t>Monitorear usuarios conectados y forzar cierre si es necesario.</t>
  </si>
  <si>
    <t>Gestionar accesos</t>
  </si>
  <si>
    <t>Definir qué funcionalidades puede ver o usar cada tipo de usuario.</t>
  </si>
  <si>
    <t>Aprobar cargas y validaciones</t>
  </si>
  <si>
    <t>Revisar y validar las acciones hechas por las bodegas y clientes.</t>
  </si>
  <si>
    <t>Generar etiquetas (shipping mark)</t>
  </si>
  <si>
    <t>Crear códigos únicos de tracking general o etiquetas para exportación.</t>
  </si>
  <si>
    <t>Emitir reportes en PDF / Excel</t>
  </si>
  <si>
    <t>Generar reportes estadísticos o logísticos con filtros personalizados.</t>
  </si>
  <si>
    <t>Dashboard de monitoreo</t>
  </si>
  <si>
    <t>Visualizar métricas del sistema: cantidad de cargas, entregas, errores, etc.</t>
  </si>
  <si>
    <t>Configurar notificaciones y alertas</t>
  </si>
  <si>
    <t>Establecer cuándo y a quién se envían notificaciones automáticas.</t>
  </si>
  <si>
    <t>Confirmar acciones críticas del sistema</t>
  </si>
  <si>
    <t>Aprobar movimientos clave para mayor seguridad (por ejemplo, consolidaciones).</t>
  </si>
  <si>
    <t>Supervisar validaciones físicas</t>
  </si>
  <si>
    <t>Tener acceso a las validaciones hechas por bodega con los packing list.</t>
  </si>
  <si>
    <t>Admin China/Colombia</t>
  </si>
  <si>
    <t>Mejora en la Trazabilidad de la Carga
Optimización del Tiempo y Procesos
Mayor Transparencia y Confianza
Mejora en la Comunicación Cliente–Empresa
Control de Accesos y Seguridad
Toma de Decisiones Basada en Datos
Flexibilidad Operativa
Reducción de Errores Humanos
Aumento de la Eficiencia Logística
Mejora de la Experiencia del Cliente</t>
  </si>
  <si>
    <t>Desarrollar un sistema web y móvil que permita gestionar el proceso logístico de cargas internacionales permitiendo el seguimiento del estado de la carga, la autenticación de usuarios, la comunicación automatizada a los clientes y el acceso seguro a la información, de manera eficiente, segura y fácil de usar.</t>
  </si>
  <si>
    <t>Proceso</t>
  </si>
  <si>
    <t>Subproceso</t>
  </si>
  <si>
    <t>Epica</t>
  </si>
  <si>
    <t>Yo como</t>
  </si>
  <si>
    <t>ROL DE USUARIO</t>
  </si>
  <si>
    <t>OBJETIVO</t>
  </si>
  <si>
    <t>Épica</t>
  </si>
  <si>
    <t>Rol de usuario</t>
  </si>
  <si>
    <t>Objetivo</t>
  </si>
  <si>
    <t>Epicas</t>
  </si>
  <si>
    <t>Consulta de carga</t>
  </si>
  <si>
    <t>Yo como cliente necesito consultar el estado de mi carga.</t>
  </si>
  <si>
    <t>Necesito</t>
  </si>
  <si>
    <t>Documentación</t>
  </si>
  <si>
    <t>Yo como cliente necesito subir el packing list.</t>
  </si>
  <si>
    <t>Generación de etiquetas</t>
  </si>
  <si>
    <t>Yo como cliente necesito generar etiquetas.</t>
  </si>
  <si>
    <t>Historial de cargas</t>
  </si>
  <si>
    <t>Yo como cliente necesito visualizar mis cargas.</t>
  </si>
  <si>
    <t>Validación por código</t>
  </si>
  <si>
    <t>Yo como cliente necesito escanear códigos QR o de barras.</t>
  </si>
  <si>
    <t>Operaciones</t>
  </si>
  <si>
    <t>Yo como cliente necesito confirmar acciones.</t>
  </si>
  <si>
    <t>Autenticación</t>
  </si>
  <si>
    <t>Yo como cliente necesito autenticarme y gestionar mi sesión.</t>
  </si>
  <si>
    <t>Notificaciones</t>
  </si>
  <si>
    <t>Yo como cliente necesito recibir notificaciones.</t>
  </si>
  <si>
    <t>Recepción</t>
  </si>
  <si>
    <t>Yo como usuario de bodega necesito validar la carga recibida.</t>
  </si>
  <si>
    <t>Bodega</t>
  </si>
  <si>
    <t>Identificación</t>
  </si>
  <si>
    <t>Yo como usuario de bodega necesito escanear códigos.</t>
  </si>
  <si>
    <t>Operaciones críticas</t>
  </si>
  <si>
    <t>Yo como usuario de bodega necesito confirmar acciones críticas.</t>
  </si>
  <si>
    <t>Gestión de cargas</t>
  </si>
  <si>
    <t>Yo como usuario de bodega necesito filtrar por estado, etc.</t>
  </si>
  <si>
    <t>Alertas</t>
  </si>
  <si>
    <t>Yo como usuario de bodega necesito recibir notificaciones.</t>
  </si>
  <si>
    <t>Gestión</t>
  </si>
  <si>
    <t>Yo como usuario de bodega necesito gestionar etiquetas.</t>
  </si>
  <si>
    <t>Acceso</t>
  </si>
  <si>
    <t>Yo como usuario de bodega necesito autenticarme y gestionar mi sesión.</t>
  </si>
  <si>
    <t>Roles</t>
  </si>
  <si>
    <t>Yo como administrador necesito gestionar roles.</t>
  </si>
  <si>
    <t>Admin</t>
  </si>
  <si>
    <t>Asignación</t>
  </si>
  <si>
    <t>Yo como administrador necesito asignar usuarios y sus roles.</t>
  </si>
  <si>
    <t>Sesiones</t>
  </si>
  <si>
    <t>Yo como administrador necesito ver y cerrar sesiones activas.</t>
  </si>
  <si>
    <t>Accesos</t>
  </si>
  <si>
    <t>Yo como administrador necesito gestionar accesos.</t>
  </si>
  <si>
    <t>Aprobación</t>
  </si>
  <si>
    <t>Yo como administrador necesito aprobar cargas y validaciones.</t>
  </si>
  <si>
    <t>Shipping mark</t>
  </si>
  <si>
    <t>Yo como administrador necesito generar etiquetas shipping mark.</t>
  </si>
  <si>
    <t>Descarga</t>
  </si>
  <si>
    <t>Yo como administrador necesito emitir reportes en PDF/Excel.</t>
  </si>
  <si>
    <t>Dashboard</t>
  </si>
  <si>
    <t>Yo como administrador necesito ver un dashboard de monitoreo.</t>
  </si>
  <si>
    <t>Yo como administrador necesito configurar notificaciones.</t>
  </si>
  <si>
    <t>Yo como administrador necesito confirmar acciones críticas.</t>
  </si>
  <si>
    <t>Validaciones físicas</t>
  </si>
  <si>
    <t>Yo como administrador necesito supervisar validaciones físicas.</t>
  </si>
  <si>
    <t xml:space="preserve"> consultar el estado de mi carga.</t>
  </si>
  <si>
    <t xml:space="preserve"> subir el packing list.</t>
  </si>
  <si>
    <t xml:space="preserve"> generar etiquetas.</t>
  </si>
  <si>
    <t xml:space="preserve"> visualizar mis cargas.</t>
  </si>
  <si>
    <t xml:space="preserve"> escanear códigos QR o de barras.</t>
  </si>
  <si>
    <t xml:space="preserve"> confirmar acciones.</t>
  </si>
  <si>
    <t xml:space="preserve"> autenticarme y gestionar mi sesión.</t>
  </si>
  <si>
    <t xml:space="preserve"> recibir notificaciones.</t>
  </si>
  <si>
    <t xml:space="preserve"> validar la carga recibida.</t>
  </si>
  <si>
    <t xml:space="preserve"> escanear códigos.</t>
  </si>
  <si>
    <t xml:space="preserve"> confirmar acciones críticas.</t>
  </si>
  <si>
    <t xml:space="preserve"> filtrar por estado</t>
  </si>
  <si>
    <t xml:space="preserve"> gestionar etiquetas.</t>
  </si>
  <si>
    <t xml:space="preserve"> gestionar roles.</t>
  </si>
  <si>
    <t xml:space="preserve"> asignar usuarios y sus roles.</t>
  </si>
  <si>
    <t xml:space="preserve"> ver y cerrar sesiones activas.</t>
  </si>
  <si>
    <t xml:space="preserve"> gestionar accesos.</t>
  </si>
  <si>
    <t xml:space="preserve"> aprobar cargas y validaciones.</t>
  </si>
  <si>
    <t xml:space="preserve"> generar etiquetas shipping mark.</t>
  </si>
  <si>
    <t xml:space="preserve"> emitir reportes en PDF/Excel.</t>
  </si>
  <si>
    <t xml:space="preserve"> ver un dashboard de monitoreo.</t>
  </si>
  <si>
    <t xml:space="preserve"> configurar notificaciones.</t>
  </si>
  <si>
    <t xml:space="preserve"> supervisar validaciones físicas.</t>
  </si>
  <si>
    <t>Gestión de paquetes</t>
  </si>
  <si>
    <t>Gestión de visualización de cargas</t>
  </si>
  <si>
    <t xml:space="preserve">Yo como usuario de bodega necesito dividir o reagrupar paquetes en el sistema </t>
  </si>
  <si>
    <t xml:space="preserve">dividir o reagrupar paquetes en el sistema </t>
  </si>
  <si>
    <t>Quiero</t>
  </si>
  <si>
    <t>Yo como administrador quiero filtrar las cargas por estado, destino o cliente.</t>
  </si>
  <si>
    <t xml:space="preserve"> filtrar las cargas por estado, destino o cliente.</t>
  </si>
  <si>
    <t>Para poder</t>
  </si>
  <si>
    <t xml:space="preserve"> BENEFICIO
(Para el usuario)</t>
  </si>
  <si>
    <t>Código Historia Usuario</t>
  </si>
  <si>
    <t>Redacción Historia de Usuario</t>
  </si>
  <si>
    <t>Código Criterio de Aceptación</t>
  </si>
  <si>
    <t>Criterios de Aceptación</t>
  </si>
  <si>
    <t>PROYECTO 888Cargo
Épicas + Historias de Usuario + Criterios de Aceptación</t>
  </si>
  <si>
    <t>Yo como cliente necesito subir el packing list de mi carga.</t>
  </si>
  <si>
    <t>Yo como administrador necesito confirmar acciones importantes.</t>
  </si>
  <si>
    <t>cliente</t>
  </si>
  <si>
    <t>usuario</t>
  </si>
  <si>
    <t>administrador</t>
  </si>
  <si>
    <t>superadministrador</t>
  </si>
  <si>
    <t>necesito</t>
  </si>
  <si>
    <t>Yo como cliente necesito cotizar mi envío.</t>
  </si>
  <si>
    <t>Yo como cliente necesito generar etiquetas para las cajas de mi carga.</t>
  </si>
  <si>
    <t>Yo como usuario necesito escanear códigos QR o de barras.</t>
  </si>
  <si>
    <t>Yo como bodeguero necesito gestionar el Bill of Landing del contenedor.</t>
  </si>
  <si>
    <t>Yo como bodeguero necesito gestionar el Packing List del contenedor.</t>
  </si>
  <si>
    <t>Yo como bodeguero necesito gestionar el Consignee y el Notify de las cargas.</t>
  </si>
  <si>
    <t>Yo como bodeguero necesito gestionar el contenedor que sera despachado.</t>
  </si>
  <si>
    <t>Yo como administrador necesito gestionar sesiones activas.</t>
  </si>
  <si>
    <t>bodeguero</t>
  </si>
  <si>
    <t>para poder</t>
  </si>
  <si>
    <t>obtener una cotización para el envío de mi carga por vía marítima.</t>
  </si>
  <si>
    <t>obtener una cotización para el envío de mi carga por vía aérea.</t>
  </si>
  <si>
    <t>corregir información ingresada o explorar diferentes opciones de envío sin tener que empezar desde cero.</t>
  </si>
  <si>
    <t>mantenerme informado sobre el progreso y ubicación de mis envíos actuales.</t>
  </si>
  <si>
    <t>proporcionar la información detallada del contenido de mi envío al sistema.</t>
  </si>
  <si>
    <t>verificar que la información del packing list cargado sea correcta.</t>
  </si>
  <si>
    <t>tener la seguridad de que la información de mi carga ha sido registrada correctamente.</t>
  </si>
  <si>
    <t>identificar fácilmente mi carga y facilitar su manejo y seguimiento.</t>
  </si>
  <si>
    <t>adjuntar las etiquetas a mi carga para su correcta identificación y procesamiento.</t>
  </si>
  <si>
    <t>escanear los códigos QR de las cajas con la cámara de mi dispositivo</t>
  </si>
  <si>
    <t>asegurar que cada tipo de usuario acceda solo a la información relevante para sus funciones.</t>
  </si>
  <si>
    <t>prevenir errores o acciones no deseadas que puedan afectar la integridad de la información.</t>
  </si>
  <si>
    <t>acceder a las funcionalidades y la información personalizada de la plataforma.</t>
  </si>
  <si>
    <t>restablecer mi acceso al sistema en caso de olvido de mi contraseña de forma segura.</t>
  </si>
  <si>
    <t>confirmar mi identidad al solicitar un restablecimiento de contraseña.</t>
  </si>
  <si>
    <t>mantenerme informado sobre los cambios importantes en el proceso de envío.</t>
  </si>
  <si>
    <t>verificar la cantidad física de la mercancía recibida contra la documentación.</t>
  </si>
  <si>
    <t>aprobar las cargas recibidas en bodega</t>
  </si>
  <si>
    <t>tener un registro formal de la mercancía recibida en bodega.</t>
  </si>
  <si>
    <t>registrar la mercancía en el sistema de gestión de inventario para su control y seguimiento.</t>
  </si>
  <si>
    <t>tener una visión completa del stock disponible y su ubicación.</t>
  </si>
  <si>
    <t>optimizar la búsqueda de información específica dentro del inventario.</t>
  </si>
  <si>
    <t>encontrar información específica de cargas utilizando diferentes criterios de búsqueda.</t>
  </si>
  <si>
    <t>asegurar la correcta identificación de los paquetes y evitar problemas en el manejo de la carga.</t>
  </si>
  <si>
    <t>optimizar el espacio y cumplir con las restricciones de carga de los contenedores.</t>
  </si>
  <si>
    <t>imprimir recibos dobles</t>
  </si>
  <si>
    <t>tener documentación adecuada para el seguimiento y control de las partes de una carga dividida.</t>
  </si>
  <si>
    <t>reintegrar una carga a inventario</t>
  </si>
  <si>
    <t>tener un documento consolidado con el contenido total del contenedor para facilitar la gestión y la documentación.</t>
  </si>
  <si>
    <t>tener una copia digital del documento consolidado del contenido del contenedor.</t>
  </si>
  <si>
    <t>generar el documento de transporte marítimo necesario para el envío del contenedor.</t>
  </si>
  <si>
    <t>corregir o actualizar la información del documento de transporte marítimo del contenedor.</t>
  </si>
  <si>
    <t>especificar el destinatario final de la mercancía dentro del contenedor.</t>
  </si>
  <si>
    <t>especificar la parte a la que se debe notificar sobre la llegada del contenedor.</t>
  </si>
  <si>
    <t>definir diferentes perfiles de usuario con distintos niveles de acceso y permisos.</t>
  </si>
  <si>
    <t>actualizar los permisos o el nombre de un rol existente según las necesidades del sistema.</t>
  </si>
  <si>
    <t>remover un perfil de usuario que ya no es necesario en el sistema.</t>
  </si>
  <si>
    <t>definir las acciones que los usuarios con ese rol podrán realizar en el sistema.</t>
  </si>
  <si>
    <t>ajustar los accesos y capacidades de un rol específico.</t>
  </si>
  <si>
    <t>revocar las autorizaciones de un rol para realizar ciertas acciones.</t>
  </si>
  <si>
    <t>categorizar a los usuarios según sus funciones y responsabilidades dentro de la plataforma.</t>
  </si>
  <si>
    <t>tener una visión general de los usuarios registrados en la plataforma para su gestión.</t>
  </si>
  <si>
    <t>finalizar las sesiones de usuarios por motivos de seguridad o administración.</t>
  </si>
  <si>
    <t>analizar datos clave del sistema para la toma de decisiones y la mejora continua.</t>
  </si>
  <si>
    <t>seleccionar la información específica que necesito analizar.</t>
  </si>
  <si>
    <t>obtener el reporte en un formato compatible con mis herramientas o necesidades.</t>
  </si>
  <si>
    <t>contar con un dashboard personalizado que muestre información relevante para mi rol</t>
  </si>
  <si>
    <t>comparar la cantidad de cajas recibidas con lo detallado en el packing list</t>
  </si>
  <si>
    <t>cotizar el envío de mi carga por transporte marítimo</t>
  </si>
  <si>
    <t>cotizar el envío de mi carga por transporte aéreo</t>
  </si>
  <si>
    <t>confirmar que el packing list sea correcto a través de una notificación del sistema</t>
  </si>
  <si>
    <t>consultar la información de la carga.</t>
  </si>
  <si>
    <t>definir los niveles de información disponible en el QR según el rol del usuario</t>
  </si>
  <si>
    <t>validar la recuperación de contraseña a través de mi correo electrónico</t>
  </si>
  <si>
    <t>contar las cajas de una carga antes de aprobarla</t>
  </si>
  <si>
    <t>confirmar la recepción física de la mercancía.</t>
  </si>
  <si>
    <t>emitir recibos de mercancía al aprobar una carga</t>
  </si>
  <si>
    <t>reimprimir etiquetas individuales o por lote en caso de daño o pérdida</t>
  </si>
  <si>
    <t>dividir una carga en caso de que supere la capacidad de carga del contenedor</t>
  </si>
  <si>
    <t>unificar los packing list de las cargas del contenedor en un packing list master</t>
  </si>
  <si>
    <t>facilitar la identificación y consulta rápida de la información de cada caja.</t>
  </si>
  <si>
    <t>tener una vista rápida y útil de los datos clave.</t>
  </si>
  <si>
    <t>verificar la exactitud de la recepción en bodega y asegurar la consistencia entre la documentación y la mercancía física recibida.</t>
  </si>
  <si>
    <t>reiniciar el cálculo de cotización del envío de una carga</t>
  </si>
  <si>
    <t>ver mi historial de cargas</t>
  </si>
  <si>
    <t>ver el estado de mis cargas</t>
  </si>
  <si>
    <t>descargar un formato para el packing list</t>
  </si>
  <si>
    <t>subir el packing list de mi carga</t>
  </si>
  <si>
    <t>visualizar el packing list que subí de mi carga</t>
  </si>
  <si>
    <t>añadir cajas individualmente al packing list</t>
  </si>
  <si>
    <t>generar una etiqueta con QR y Shipping Mark para mi carga</t>
  </si>
  <si>
    <t>imprimir las etiquetas con QR y Shipping Mark de mi carga</t>
  </si>
  <si>
    <t>iniciar sesión en el sistema</t>
  </si>
  <si>
    <t>recibir notificaciones al correo electrónico sobre los estados de mi carga</t>
  </si>
  <si>
    <t>enviar a inventario las cargas recibidas</t>
  </si>
  <si>
    <t>visualizar todas las cargas que se encuentran en inventario</t>
  </si>
  <si>
    <t>realizar búsquedas de cargas dentro del inventario</t>
  </si>
  <si>
    <t>descargar el packing list master del contenedor</t>
  </si>
  <si>
    <t>editar el bill of landing del contenedor</t>
  </si>
  <si>
    <t>asignar el consignee de las cargas del contenedor</t>
  </si>
  <si>
    <t>asignar el notify de las cargas del contenedor</t>
  </si>
  <si>
    <t>crear un rol</t>
  </si>
  <si>
    <t>modificar un rol</t>
  </si>
  <si>
    <t>eliminar un rol</t>
  </si>
  <si>
    <t>modificar los permisos de un rol</t>
  </si>
  <si>
    <t>visualizar una lista de todos los usuarios del sistema</t>
  </si>
  <si>
    <t>cerrar sesiones del sistema</t>
  </si>
  <si>
    <t>elegir el tipo de reporte</t>
  </si>
  <si>
    <t>descargar el reporte generado</t>
  </si>
  <si>
    <t>elegir el formato del reporte que deseo descargar</t>
  </si>
  <si>
    <t>tener una plantilla estandarizada y proporcionar la información detallada de mi carga.</t>
  </si>
  <si>
    <t>liberar el area de despacho en caso de ser una carga dividida.</t>
  </si>
  <si>
    <t>HU_01</t>
  </si>
  <si>
    <t>HU_02</t>
  </si>
  <si>
    <t>HU_03</t>
  </si>
  <si>
    <t>HU_04</t>
  </si>
  <si>
    <t>HU_05</t>
  </si>
  <si>
    <t>HU_06</t>
  </si>
  <si>
    <t>HU_07</t>
  </si>
  <si>
    <t>HU_08</t>
  </si>
  <si>
    <t>HU_09</t>
  </si>
  <si>
    <t>HU_10</t>
  </si>
  <si>
    <t>HU_11</t>
  </si>
  <si>
    <t>HU_12</t>
  </si>
  <si>
    <t>HU_13</t>
  </si>
  <si>
    <t>HU_14</t>
  </si>
  <si>
    <t>HU_15</t>
  </si>
  <si>
    <t>HU_16</t>
  </si>
  <si>
    <t>HU_17</t>
  </si>
  <si>
    <t>HU_19</t>
  </si>
  <si>
    <t>HU_20</t>
  </si>
  <si>
    <t>HU_21</t>
  </si>
  <si>
    <t>HU_22</t>
  </si>
  <si>
    <t>HU_23</t>
  </si>
  <si>
    <t>HU_24</t>
  </si>
  <si>
    <t>HU_25</t>
  </si>
  <si>
    <t>HU_26</t>
  </si>
  <si>
    <t>HU_27</t>
  </si>
  <si>
    <t>HU_28</t>
  </si>
  <si>
    <t>HU_29</t>
  </si>
  <si>
    <t>HU_30</t>
  </si>
  <si>
    <t>HU_31</t>
  </si>
  <si>
    <t>HU_32</t>
  </si>
  <si>
    <t>HU_33</t>
  </si>
  <si>
    <t>HU_34</t>
  </si>
  <si>
    <t>HU_35</t>
  </si>
  <si>
    <t>HU_36</t>
  </si>
  <si>
    <t>HU_37</t>
  </si>
  <si>
    <t>HU_38</t>
  </si>
  <si>
    <t>HU_39</t>
  </si>
  <si>
    <t>HU_41</t>
  </si>
  <si>
    <t>HU_42</t>
  </si>
  <si>
    <t>HU_43</t>
  </si>
  <si>
    <t>HU_44</t>
  </si>
  <si>
    <t>HU_45</t>
  </si>
  <si>
    <t>HU_46</t>
  </si>
  <si>
    <t>HU_47</t>
  </si>
  <si>
    <t>HU_48</t>
  </si>
  <si>
    <t>HU_49</t>
  </si>
  <si>
    <t>HU_50</t>
  </si>
  <si>
    <t>HU_51</t>
  </si>
  <si>
    <t>HU_52</t>
  </si>
  <si>
    <t>HU_53</t>
  </si>
  <si>
    <t>HU_54</t>
  </si>
  <si>
    <t>HU_55</t>
  </si>
  <si>
    <t>La cotización incluye información relevante como tiempo estimado de tránsito y posibles cargos adicionales.</t>
  </si>
  <si>
    <t>Existe una sección o página accesible para el cliente llamada "Historial de Cargas" o similar.</t>
  </si>
  <si>
    <t>El cliente puede ver detalles adicionales de cada envío en el historial (haciendo clic en la entrada).</t>
  </si>
  <si>
    <t>Se muestra la ubicación actual de la carga si está disponible.</t>
  </si>
  <si>
    <t>Existe una opción clara para "Subir Packing List" (ej. botón "Seleccionar Archivo") en la sección de detalles del envío.</t>
  </si>
  <si>
    <t>Se pueden añadir múltiples cajas individualmente.</t>
  </si>
  <si>
    <t>Se muestra una lista de las cajas añadidas con sus detalles.</t>
  </si>
  <si>
    <t>Existe una funcionalidad dentro de la aplicación que permite escanear códigos QR utilizando la cámara del dispositivo.</t>
  </si>
  <si>
    <t>El sistema autentica las credenciales ingresadas contra la base de datos de usuarios.</t>
  </si>
  <si>
    <t>Existe un enlace "Olvidé mi contraseña" en la pantalla de inicio de sesión.</t>
  </si>
  <si>
    <t>El correo electrónico de restablecimiento de contraseña contiene un enlace único y seguro.</t>
  </si>
  <si>
    <t>Los usuarios pueden configurar sus preferencias de notificación por correo electrónico (si es necesario).</t>
  </si>
  <si>
    <t>Existe una sección de configuración para la gestión de códigos QR.</t>
  </si>
  <si>
    <t>Existe una sección de administración de roles.</t>
  </si>
  <si>
    <t>El superadministrador puede crear nuevos roles asignándoles un nombre único.</t>
  </si>
  <si>
    <t>Los permisos deben ser granulares y corresponder a las diferentes funcionalidades del sistema.</t>
  </si>
  <si>
    <t>El rol asignado al usuario determina las funcionalidades y la información a la que tiene acceso en el sistema.</t>
  </si>
  <si>
    <t>La ventana de confirmación describe la acción que se va a realizar y solicita al administrador confirmar o cancelar.</t>
  </si>
  <si>
    <t>La acción se ejecuta solo si el administrador confirma.</t>
  </si>
  <si>
    <t>Existe una sección de administración de usuarios accesible para el administrador.</t>
  </si>
  <si>
    <t>Existe una sección de "Reportes" accesible para el administrador.</t>
  </si>
  <si>
    <t>El administrador puede seleccionar un tipo de reporte de la lista.</t>
  </si>
  <si>
    <t>El reporte descargado está en el formato seleccionado.</t>
  </si>
  <si>
    <t>(Opcional) El administrador puede personalizar qué widgets se muestran en su dashboard y su disposición.</t>
  </si>
  <si>
    <t>El sistema también muestra la cantidad de cajas detalladas en el packing list asociado a esa carga.</t>
  </si>
  <si>
    <t>El sistema indica claramente si la cantidad de cajas recibidas coincide con la cantidad en el packing list (ej. mediante un indicador visual o un mensaje).</t>
  </si>
  <si>
    <t>El sistema guarda la cantidad de cajas contadas para la carga.</t>
  </si>
  <si>
    <t>El bodeguero puede seleccionar una carga y aprobarla.</t>
  </si>
  <si>
    <t>El bodeguero tiene la opción de ver e imprimir el recibo.</t>
  </si>
  <si>
    <t>El estado de la carga se actualiza en el sistema para reflejar que está en inventario.</t>
  </si>
  <si>
    <t>La información de la carga está disponible en la sección de inventario.</t>
  </si>
  <si>
    <t>El bodeguero puede seleccionar valores en estos filtros para reducir la lista de cargas mostrada.</t>
  </si>
  <si>
    <t>La lista se actualiza dinámicamente según los filtros aplicados.</t>
  </si>
  <si>
    <t>La lista de cargas se filtra para mostrar solo aquellas que coinciden con los criterios de búsqueda.</t>
  </si>
  <si>
    <t>El bodeguero puede seleccionar reimprimir la etiqueta de una caja individual o de todas las cajas de una carga.</t>
  </si>
  <si>
    <t>Se genera un archivo listo para imprimir de las etiquetas seleccionadas.</t>
  </si>
  <si>
    <t>El sistema genera un único packing list que consolida la información de los packing lists individuales de las cargas seleccionadas.</t>
  </si>
  <si>
    <t>Los cambios realizados se guardan en el sistema.</t>
  </si>
  <si>
    <t>El bodeguero puede seleccionar un consignee existente o crear uno nuevo.</t>
  </si>
  <si>
    <t>El consignee asignado se asocia a las cargas del contenedor y se refleja en la documentación relevante.</t>
  </si>
  <si>
    <t>El bodeguero puede seleccionar una parte a notificar existente o crear una nueva.</t>
  </si>
  <si>
    <t>La parte a notificar asignada se asocia a las cargas del contenedor y se refleja en la documentación relevante.</t>
  </si>
  <si>
    <t>tener un registro de mis envíos anteriores para seguimiento; referencia o futuras consultas.</t>
  </si>
  <si>
    <t>detallar el contenido de mi carga de manera precisa; incluso si no tengo un listado previo.</t>
  </si>
  <si>
    <t>recibir una solicitud de confirmación antes de finalizar acciones importantes (modificar carga; eliminar carga; etc)</t>
  </si>
  <si>
    <t>Yo como usuario de bodega necesito filtrar por estado; etc.</t>
  </si>
  <si>
    <t>filtrar el listado de cargas por estado; fecha; origen y destino</t>
  </si>
  <si>
    <t>asignar un rol específico (cliente; bodeguero o administrador) a los usuarios del sistema</t>
  </si>
  <si>
    <t>incluir en las etiquetas el Shipping Mark; número consecutivo de caja; código de barras y código QR con acceso a datos de la carga</t>
  </si>
  <si>
    <t>crear reportes con información operativa (movimientos; cubicajes; cargas; etc)</t>
  </si>
  <si>
    <t>tener una copia del análisis de datos para su revisión; distribución o archivo.</t>
  </si>
  <si>
    <t>Al hacer clic en "Reiniciar"; todos los campos del formulario de cotización se limpian o vuelven a sus valores predeterminados; permitiendo ingresar nueva información.</t>
  </si>
  <si>
    <t>El historial muestra una lista de todos los envíos realizados por el cliente; ordenados por fecha (descendente por defecto).</t>
  </si>
  <si>
    <t>El sistema muestra el estado actual de la carga y un historial de los eventos relevantes (ej. "En origen"; "En tránsito"; "En destino"; "Entregado").</t>
  </si>
  <si>
    <t>El formato del packing list incluye campos para descripción de la mercancía; cantidad; dimensiones; peso; marcas; etc.</t>
  </si>
  <si>
    <t>Una vez cargado; el sistema indica que el archivo se ha subido correctamente.</t>
  </si>
  <si>
    <t>En la sección de packing list; existe una opción para "Añadir Caja" o "Añadir Artículo".</t>
  </si>
  <si>
    <t>Al hacer clic; se muestra un formulario para ingresar los detalles de una caja individual (descripción; cantidad; dimensiones; peso; marcas).</t>
  </si>
  <si>
    <t>Después de subir o completar el packing list; existe un botón o acción para "Confirmar Packing List".</t>
  </si>
  <si>
    <t>Al confirmar; el sistema muestra un mensaje de confirmación al cliente.</t>
  </si>
  <si>
    <t>Si las credenciales son correctas; el usuario es redirigido a la página principal o a su panel de control personalizado.</t>
  </si>
  <si>
    <t>Si las credenciales son incorrectas; se muestra un mensaje de error claro.</t>
  </si>
  <si>
    <t>Al hacer clic en el enlace; el usuario es redirigido a una página para crear una nueva contraseña.</t>
  </si>
  <si>
    <t>Después de ingresar y confirmar la nueva contraseña; el usuario puede iniciar sesión con sus nuevas credenciales.</t>
  </si>
  <si>
    <t>El sistema está configurado para enviar correos electrónicos automáticos cuando el estado de una carga cambia a un estado relevante (ej. "Carga Recibida"; "En Tránsito"; "Entregado").</t>
  </si>
  <si>
    <t>El superadministrador puede definir qué campos de información de la carga se incluirán en el código QR para cada rol de usuario (cliente; bodeguero; etc.).</t>
  </si>
  <si>
    <t>Al escanear un QR; la información mostrada se ajusta al rol del usuario que realiza el escaneo.</t>
  </si>
  <si>
    <t>En la sección de administración de roles; el superadministrador puede seleccionar un rol existente y modificar su nombre o los permisos asociados.</t>
  </si>
  <si>
    <t>En la sección de administración de usuarios; el superadministrador puede seleccionar un usuario y asignarle un rol de la lista de roles disponibles.</t>
  </si>
  <si>
    <t>Antes de ejecutar acciones críticas como modificar o eliminar una carga; el sistema muestra una ventana o mensaje de confirmación.</t>
  </si>
  <si>
    <t>Se muestra una lista de todos los usuarios registrados en el sistema; incluyendo información básica (nombre; correo electrónico; rol).</t>
  </si>
  <si>
    <t>En la lista de usuarios; el administrador tiene la opción de "Cerrar Sesión" para uno o varios usuarios activos.</t>
  </si>
  <si>
    <t>Al cerrar la sesión de un usuario; este es automáticamente desconectado del sistema y deberá volver a iniciar sesión.</t>
  </si>
  <si>
    <t>El administrador puede seleccionar diferentes tipos de reportes operativos (ej. "Reporte de Movimientos de Carga"; "Reporte de Cubicaje"; "Reporte de Cargas por Estado").</t>
  </si>
  <si>
    <t>En la sección de "Reportes"; se presenta una lista de los diferentes tipos de reportes disponibles.</t>
  </si>
  <si>
    <t>Después de seleccionar el tipo de reporte (y configurar filtros si es necesario); existe una opción para "Generar Reporte" y luego "Descargar Reporte".</t>
  </si>
  <si>
    <t>Al hacer clic en "Descargar Reporte"; se genera un archivo del reporte en el formato predeterminado (o en el formato seleccionado en la historia #56).</t>
  </si>
  <si>
    <t>Antes de descargar el reporte (o al momento de generarlo); el administrador puede seleccionar el formato de descarga (ej. CSV; XLSX; PDF).</t>
  </si>
  <si>
    <t>Al iniciar sesión como administrador; se muestra un dashboard con widgets o secciones que presentan información clave (ej. número de cargas en tránsito; cargas pendientes de aprobación; movimientos recientes).</t>
  </si>
  <si>
    <t>En la interfaz de aprobación de cargas recibidas; el sistema muestra la cantidad de cajas escaneadas/contadas por el bodeguero.</t>
  </si>
  <si>
    <t>En la interfaz de recepción de cargas; existe un campo o mecanismo para registrar la cantidad de cajas recibidas (ya sea manualmente o mediante escaneo).</t>
  </si>
  <si>
    <t>Al aprobar una carga; su estado se actualiza en el sistema (ej. a "Recibida en Bodega").</t>
  </si>
  <si>
    <t>Al aprobar una carga; el sistema genera automáticamente un recibo de mercancía.</t>
  </si>
  <si>
    <t>El recibo contiene información relevante de la carga (número de guía; fecha de recepción; cantidad de bultos; descripción general).</t>
  </si>
  <si>
    <t>Después de aprobar una carga; existe una opción para "Enviar a Inventario" o el sistema lo hace automáticamente.</t>
  </si>
  <si>
    <t>Se muestra una lista de todas las cargas actualmente en inventario; con información relevante (número de guía; descripción; ubicación si aplica; estado).</t>
  </si>
  <si>
    <t>El bodeguero puede ingresar palabras clave (ej. número de guía; descripción parcial) para buscar cargas.</t>
  </si>
  <si>
    <t>Una vez generado el packing list master; existe una opción para "Descargar Packing List Master".</t>
  </si>
  <si>
    <t>El bodeguero puede crear un nuevo BL; asociándolo a un contenedor específico.</t>
  </si>
  <si>
    <t>El sistema presenta un formulario para ingresar la información requerida para el BL (shipper; consignee; notify party; descripción de la carga; etc.).</t>
  </si>
  <si>
    <t>El sistema permite al administrador seleccionar una carga existente.</t>
  </si>
  <si>
    <t>Existe una opción clara (botón, menú) para "Dividir Carga".</t>
  </si>
  <si>
    <t>Al seleccionar "Dividir Carga", el sistema presenta una interfaz para especificar cómo se dividirá la carga (ej. por cantidad de bultos, por peso/volumen, creando nuevas sub-cargas).</t>
  </si>
  <si>
    <t>El administrador puede definir los detalles de cada nueva sub-carga (cantidad, peso, volumen, descripción si es necesario).</t>
  </si>
  <si>
    <t>El sistema valida que la suma de las partes divididas corresponda a la carga original (en términos de cantidad o dimensiones/peso, según la división).</t>
  </si>
  <si>
    <t>El sistema asigna identificadores únicos a cada una de las sub-cargas resultantes, manteniendo una relación con la carga original.</t>
  </si>
  <si>
    <t>El estado de la carga original se actualiza a "Dividida".</t>
  </si>
  <si>
    <t>Las nuevas sub-cargas se registran en el sistema con su información correspondiente.</t>
  </si>
  <si>
    <t>Para una carga que ha sido previamente dividida, existe una opción para "Imprimir Recibos Dobles" o similar.</t>
  </si>
  <si>
    <t>Al seleccionar esta opción, el sistema genera un recibo para cada una de las sub-cargas resultantes de la división.</t>
  </si>
  <si>
    <t>Cada recibo contiene información clara que lo identifica como parte de una carga dividida (ej. número de carga original y número de sub-carga).</t>
  </si>
  <si>
    <t>Cada recibo incluye detalles relevantes de la sub-carga específica (cantidad, peso, volumen, descripción si aplica).</t>
  </si>
  <si>
    <t>El sistema permite la impresión de estos recibos en un formato estándar.</t>
  </si>
  <si>
    <t>El sistema permite al administrador seleccionar una o varias sub-cargas que pertenecen a una carga previamente dividida.</t>
  </si>
  <si>
    <t>Existe una opción clara (botón, menú) para "Reintegrar a Inventario" o "Unificar en Inventario".</t>
  </si>
  <si>
    <t>Al seleccionar esta opción, el sistema pregunta por una confirmación de la acción.</t>
  </si>
  <si>
    <t>Tras la confirmación, el estado de las sub-cargas seleccionadas se actualiza a "En Inventario".</t>
  </si>
  <si>
    <t>El sistema registra la fecha y hora de la reintegración, así como el usuario que realizó la acción.</t>
  </si>
  <si>
    <t>Las sub-cargas reintegradas aparecen en el listado de inventario.</t>
  </si>
  <si>
    <t>CA_01_01</t>
  </si>
  <si>
    <t>CA_01_02</t>
  </si>
  <si>
    <t>CA_01_03</t>
  </si>
  <si>
    <t>CA_02_01</t>
  </si>
  <si>
    <t>CA_02_02</t>
  </si>
  <si>
    <t>CA_02_03</t>
  </si>
  <si>
    <t>CA_03_01</t>
  </si>
  <si>
    <t>CA_03_02</t>
  </si>
  <si>
    <t>CA_04_01</t>
  </si>
  <si>
    <t>CA_04_02</t>
  </si>
  <si>
    <t>CA_04_03</t>
  </si>
  <si>
    <t>CA_04_04</t>
  </si>
  <si>
    <t>CA_05_01</t>
  </si>
  <si>
    <t>CA_05_02</t>
  </si>
  <si>
    <t>CA_05_03</t>
  </si>
  <si>
    <t>CA_05_04</t>
  </si>
  <si>
    <t>CA_06_01</t>
  </si>
  <si>
    <t>CA_06_02</t>
  </si>
  <si>
    <t>CA_06_03</t>
  </si>
  <si>
    <t>CA_07_01</t>
  </si>
  <si>
    <t>CA_07_02</t>
  </si>
  <si>
    <t>CA_07_03</t>
  </si>
  <si>
    <t>CA_08_01</t>
  </si>
  <si>
    <t>CA_08_02</t>
  </si>
  <si>
    <t>CA_09_01</t>
  </si>
  <si>
    <t>CA_09_02</t>
  </si>
  <si>
    <t>CA_09_03</t>
  </si>
  <si>
    <t>CA_09_04</t>
  </si>
  <si>
    <t>El sistema muestra un formulario para ingresar los detalles del envío marítimo (dimensiones/peso; tipo de carga; etc.).</t>
  </si>
  <si>
    <t>Al ingresar los detalles y solicitar la cotización; el sistema debe mostrar el costo del envío con desglose de costos si es posible.</t>
  </si>
  <si>
    <t>El sistema muestra un formulario para ingresar los detalles del envío aéreo (dimensiones/peso; tipo de carga; etc.).</t>
  </si>
  <si>
    <t>En la pantalla de cotización; existe un botón claro para "Reiniciar" o "Nueva Cotización".</t>
  </si>
  <si>
    <t>Cada entrada en el historial muestra información básica relevante (fecha de envío, cantidad de cajas, fecha de arribo; estado actual).</t>
  </si>
  <si>
    <t>Existe una sección accesible para el cliente llamada "Estado de Cargas" o similar.</t>
  </si>
  <si>
    <t>El cliente puede buscar el estado de una carga específica ingresando su número de etiqueta.</t>
  </si>
  <si>
    <t>Existe un enlace o botón claro para "Descargar Formato Packing List" en la sección "crear un nuevo envío".</t>
  </si>
  <si>
    <t>Al hacer clic; se descarga un archivo en un formato común (XLSX) que contiene los campos necesarios para el packing list.</t>
  </si>
  <si>
    <t>El sistema permite seleccionar y cargar un archivo en formato (XLSX).</t>
  </si>
  <si>
    <t>Después de subir el packing list; o en la sección de detalles del envío; se despliega una lista para "Ver Packing List" o similar.</t>
  </si>
  <si>
    <t>El cliente recibe una notificación (por correo electrónico o en la plataforma) indicando que el packing list ha sido confirmado.</t>
  </si>
  <si>
    <t>Una vez que el packing list está confirmado; existe una opción para "Generar Etiqueta".</t>
  </si>
  <si>
    <t>Al generar la etiqueta; se crea un archivo (ej. PDF) que contiene un código QR (tantos como cajas añadidas) y el Shipping Mark de la carga.</t>
  </si>
  <si>
    <t>Una vez que se crea el archivo PDF, existe un boton para descargar la etiqueta o imprimirla directamente.</t>
  </si>
  <si>
    <t>Existe un boton en la seccion de Packing List para descargar las etiquetas ya generadas anteriormente, cuantas veces sean necesarias.</t>
  </si>
  <si>
    <t>Existe una pantalla de inicio de sesión con campos para correo electrónico y contraseña.</t>
  </si>
  <si>
    <t>Los correos electrónicos contienen información clara sobre la carga y el nuevo estado.</t>
  </si>
  <si>
    <t>No se podrá eliminar roles que tengan usuarios con ese rol asociado.</t>
  </si>
  <si>
    <t>Al hacer clic; se descarga un archivo (PDF) con el packing list consolidado.</t>
  </si>
  <si>
    <t>El sistema permitirá al administrador unificar la información de las sub-cargas reintegradas en un único registro de inventario (si la división fue temporal o erronea).</t>
  </si>
  <si>
    <t>CA_10_01</t>
  </si>
  <si>
    <t>CA_10_02</t>
  </si>
  <si>
    <t>CA_10_03</t>
  </si>
  <si>
    <t>CA_11_01</t>
  </si>
  <si>
    <t>CA_11_02</t>
  </si>
  <si>
    <t>CA_12_01</t>
  </si>
  <si>
    <t>CA_12_02</t>
  </si>
  <si>
    <t>CA_13_01</t>
  </si>
  <si>
    <t>CA_13_02</t>
  </si>
  <si>
    <t>CA_14_01</t>
  </si>
  <si>
    <t>CA_14_02</t>
  </si>
  <si>
    <t>CA_14_03</t>
  </si>
  <si>
    <t>CA_15_01</t>
  </si>
  <si>
    <t>CA_15_02</t>
  </si>
  <si>
    <t>CA_15_03</t>
  </si>
  <si>
    <t>CA_16_01</t>
  </si>
  <si>
    <t>CA_16_02</t>
  </si>
  <si>
    <t>CA_16_03</t>
  </si>
  <si>
    <t>CA_17_01</t>
  </si>
  <si>
    <t>CA_17_02</t>
  </si>
  <si>
    <t>CA_17_03</t>
  </si>
  <si>
    <t>CA_19_01</t>
  </si>
  <si>
    <t>CA_19_02</t>
  </si>
  <si>
    <t>CA_19_03</t>
  </si>
  <si>
    <t>CA_20_01</t>
  </si>
  <si>
    <t>CA_20_02</t>
  </si>
  <si>
    <t>CA_21_01</t>
  </si>
  <si>
    <t>CA_22_01</t>
  </si>
  <si>
    <t>CA_22_02</t>
  </si>
  <si>
    <t>CA_23_01</t>
  </si>
  <si>
    <t>CA_23_02</t>
  </si>
  <si>
    <t>CA_24_01</t>
  </si>
  <si>
    <t>CA_25_01</t>
  </si>
  <si>
    <t>CA_26_01</t>
  </si>
  <si>
    <t>CA_26_02</t>
  </si>
  <si>
    <t>CA_27_01</t>
  </si>
  <si>
    <t>CA_27_02</t>
  </si>
  <si>
    <t>CA_27_03</t>
  </si>
  <si>
    <t>CA_28_01</t>
  </si>
  <si>
    <t>CA_28_02</t>
  </si>
  <si>
    <t>CA_29_01</t>
  </si>
  <si>
    <t>CA_29_02</t>
  </si>
  <si>
    <t>CA_30_01</t>
  </si>
  <si>
    <t>CA_30_02</t>
  </si>
  <si>
    <t>CA_31_01</t>
  </si>
  <si>
    <t>CA_31_02</t>
  </si>
  <si>
    <t>CA_32_01</t>
  </si>
  <si>
    <t>CA_32_02</t>
  </si>
  <si>
    <t>CA_33_01</t>
  </si>
  <si>
    <t>CA_33_02</t>
  </si>
  <si>
    <t>CA_34_01</t>
  </si>
  <si>
    <t>CA_34_02</t>
  </si>
  <si>
    <t>CA_35_01</t>
  </si>
  <si>
    <t>CA_35_02</t>
  </si>
  <si>
    <t>CA_36_01</t>
  </si>
  <si>
    <t>CA_36_02</t>
  </si>
  <si>
    <t>CA_37_01</t>
  </si>
  <si>
    <t>CA_37_02</t>
  </si>
  <si>
    <t>CA_38_01</t>
  </si>
  <si>
    <t>CA_38_02</t>
  </si>
  <si>
    <t>CA_39_01</t>
  </si>
  <si>
    <t>CA_39_02</t>
  </si>
  <si>
    <t>CA_41_01</t>
  </si>
  <si>
    <t>CA_41_02</t>
  </si>
  <si>
    <t>CA_42_01</t>
  </si>
  <si>
    <t>CA_42_02</t>
  </si>
  <si>
    <t>CA_43_01</t>
  </si>
  <si>
    <t>CA_43_02</t>
  </si>
  <si>
    <t>CA_43_03</t>
  </si>
  <si>
    <t>CA_44_01</t>
  </si>
  <si>
    <t>CA_44_02</t>
  </si>
  <si>
    <t>CA_44_03</t>
  </si>
  <si>
    <t>CA_45_01</t>
  </si>
  <si>
    <t>CA_45_02</t>
  </si>
  <si>
    <t>CA_46_01</t>
  </si>
  <si>
    <t>CA_46_02</t>
  </si>
  <si>
    <t>CA_47_01</t>
  </si>
  <si>
    <t>CA_47_02</t>
  </si>
  <si>
    <t>CA_48_01</t>
  </si>
  <si>
    <t>CA_48_02</t>
  </si>
  <si>
    <t>CA_48_03</t>
  </si>
  <si>
    <t>CA_49_01</t>
  </si>
  <si>
    <t>CA_49_02</t>
  </si>
  <si>
    <t>CA_50_01</t>
  </si>
  <si>
    <t>CA_50_02</t>
  </si>
  <si>
    <t>CA_51_01</t>
  </si>
  <si>
    <t>CA_51_02</t>
  </si>
  <si>
    <t>CA_52_01</t>
  </si>
  <si>
    <t>CA_52_02</t>
  </si>
  <si>
    <t>CA_53_01</t>
  </si>
  <si>
    <t>CA_53_02</t>
  </si>
  <si>
    <t>CA_54_01</t>
  </si>
  <si>
    <t>CA_54_02</t>
  </si>
  <si>
    <t>CA_54_03</t>
  </si>
  <si>
    <t>CA_55_01</t>
  </si>
  <si>
    <t>CA_55_02</t>
  </si>
  <si>
    <t>Usuario General</t>
  </si>
  <si>
    <t>Yo como superadministrador necesito limitar la información que aparece en los QR.</t>
  </si>
  <si>
    <t>Yo como superadministrador necesito gestionar roles.</t>
  </si>
  <si>
    <t>Yo como superadministrador necesito gestionar permisos.</t>
  </si>
  <si>
    <t>Yo como superadministrador necesito asignar usuarios y sus roles.</t>
  </si>
  <si>
    <t>Superadministrador</t>
  </si>
  <si>
    <t>Administrador</t>
  </si>
  <si>
    <t>Bodeguero</t>
  </si>
  <si>
    <t>Cotización</t>
  </si>
  <si>
    <t>Yo como usuario necesito recibir notificaciones.</t>
  </si>
  <si>
    <t>Yo como usuario necesito autenticarme y gestionar mi sesión.</t>
  </si>
  <si>
    <t>Documentación de Carga</t>
  </si>
  <si>
    <t>Gestión de Sesión</t>
  </si>
  <si>
    <t>Gestión de Acciones Críticas</t>
  </si>
  <si>
    <t>Gestión de Etiquetas</t>
  </si>
  <si>
    <t>Gestión de Carga</t>
  </si>
  <si>
    <t>Gestión de Información</t>
  </si>
  <si>
    <t>Recepción de Carga</t>
  </si>
  <si>
    <t>Yo como administrador necesito dividir o reagrupar cargas en el sistema.</t>
  </si>
  <si>
    <t>Filtrado y Visualización</t>
  </si>
  <si>
    <t>Documentación de Carga y Despacho</t>
  </si>
  <si>
    <t>CA_31_03</t>
  </si>
  <si>
    <t>CA_32_03</t>
  </si>
  <si>
    <t>CA_32_04</t>
  </si>
  <si>
    <t>CA_32_05</t>
  </si>
  <si>
    <t>CA_33_03</t>
  </si>
  <si>
    <t>CA_33_04</t>
  </si>
  <si>
    <t>CA_33_05</t>
  </si>
  <si>
    <t>CA_47_03</t>
  </si>
  <si>
    <t>CA_49_03</t>
  </si>
  <si>
    <t>En la sección "Ver Packing List" se muestra el contenido del archivo de packing list cargado.</t>
  </si>
  <si>
    <t>dgSecuencia_reiniciarCotizacion_01-29042025</t>
  </si>
  <si>
    <t>Diagrama de Secuencia</t>
  </si>
  <si>
    <t>Diagrama de Caso de Uso</t>
  </si>
  <si>
    <t>Diagrama de Flujo</t>
  </si>
  <si>
    <t>dgFlujo_cotizacion_03-28042025</t>
  </si>
  <si>
    <t>dgSecuencia_cotizacion_01-28042025</t>
  </si>
  <si>
    <t>dgFlujo_historialCarga_01-13052025</t>
  </si>
  <si>
    <t>dgSecuencia_historialCarga_01-13052025</t>
  </si>
  <si>
    <t>dgFlujo_estadoCarga_01-05052025</t>
  </si>
  <si>
    <t>dgSecuencia_estadoCarga_01-05052025</t>
  </si>
  <si>
    <t>dgFlujo_descargaPL_01-08052025</t>
  </si>
  <si>
    <t>dgSecuencia_descargaPL_01-08052025</t>
  </si>
  <si>
    <t>dgFlujo_cargaPL_01-15042025</t>
  </si>
  <si>
    <t>dgSecuencia_cargaPL_01-15042025</t>
  </si>
  <si>
    <t>dgFlujo_visualizarPL_01-14052025</t>
  </si>
  <si>
    <t>dgSecuencia_visualizarPL_01-14052025</t>
  </si>
  <si>
    <t>dgFlujo_añadirCajas_01-08052025</t>
  </si>
  <si>
    <t>dgSecuencia_añadirCajas_01-8052025</t>
  </si>
  <si>
    <t>dgFlujo_notificacionCarga_01-14052025</t>
  </si>
  <si>
    <t>dgSecuencia_notificacionCarga_01-14052025</t>
  </si>
  <si>
    <t>dgFlujo_descargarEtiqueta_01-07052025</t>
  </si>
  <si>
    <t>dgSecuencia_descargarEtiqueta_01-07052025</t>
  </si>
  <si>
    <t>dgFlujo_imprimirEtiqueta_01-14052025</t>
  </si>
  <si>
    <t>dgSecuencia_imprimirEtiqueta_01-14052025</t>
  </si>
  <si>
    <t>Al escanear un código QR válido de una caja; la aplicación muestra la información asociada a esa carga.</t>
  </si>
  <si>
    <t>dgFlujo_escanearQR_01-15052025</t>
  </si>
  <si>
    <t>dgSecuencia_escanearQR_01-15052025</t>
  </si>
  <si>
    <t>dgFlujo_inicioSesion_01-15052025</t>
  </si>
  <si>
    <t>dgSecuencia_inicioSesion_01-15052025</t>
  </si>
  <si>
    <t>dgFlujo_validacionCorreo_01-16052025</t>
  </si>
  <si>
    <t>dgSecuencia_validarCorreo_01-16052025</t>
  </si>
  <si>
    <t>dgFlow_recuperarContrasena_01-16052025</t>
  </si>
  <si>
    <t>dgSecuencia_recuperarContrasena_01-16052025</t>
  </si>
  <si>
    <t>dgFlujo_notificacionEstadoCarga_01-19052025</t>
  </si>
  <si>
    <t>dgSecuencia_notificacionEstadoCarga_01-19052025</t>
  </si>
  <si>
    <t>dgFlujo_informacionQR_01-19052025</t>
  </si>
  <si>
    <t>dgSecuencia_informacionQR_01-19052025</t>
  </si>
  <si>
    <t>dgFlujo_crearRol_01-19052025</t>
  </si>
  <si>
    <t>dgSecuencia_crearRol_01-19052025</t>
  </si>
  <si>
    <t>dgFlujo_modificarRol_01-19052025</t>
  </si>
  <si>
    <t>En la sección de administración de roles; el superadministrador puede seleccionar un rol existente y eliminarlo (inactivarlo)</t>
  </si>
  <si>
    <t>dgSecuencia_modificarRol_01-19052025</t>
  </si>
  <si>
    <t>En la sección de "Gestión de persmiso", el superadministrador puede seleccionar un permiso y modificar los alcances que tiene asignados (añadir o eliminar funcionalidades).</t>
  </si>
  <si>
    <t>En la sección de "Gestión de persmiso"; el superadministrador puede seleccionar un permiso y desmarcar funcionalidades previamente asignadas para eliminarlos.</t>
  </si>
  <si>
    <t>dgFlujo_crearPermiso_01-19052025</t>
  </si>
  <si>
    <t>dgSecuencia_crearPermiso_01-19052025</t>
  </si>
  <si>
    <t>dgFlujo_modificarPermiso_01-19052025</t>
  </si>
  <si>
    <t>dgSecuencia_modificarPermiso_01-19052025</t>
  </si>
  <si>
    <t>dgFlujo_asginarRol_20052025</t>
  </si>
  <si>
    <t>dgSecuencia_asignarRol_01-20052025</t>
  </si>
  <si>
    <t>dgFlujo_confirmarAccion_01-20052025</t>
  </si>
  <si>
    <t>dgSecuencia_confirmarAccion_01-20052025</t>
  </si>
  <si>
    <t>dgFlujo_listarUsuarios_01-20052025</t>
  </si>
  <si>
    <t>dgSecuencia_listarUsuarios_01-20052025</t>
  </si>
  <si>
    <t>dgFlujo_cerrarSesionesActivas_01-20052025</t>
  </si>
  <si>
    <t>dgSecuencia_cerrarSesionesActivas_01-20052025</t>
  </si>
  <si>
    <t>En la sección de administración de etiquetas, el administrador puede ver las etiquetas existentes y la información relacionada a cada una de ellas.</t>
  </si>
  <si>
    <t>Las etiquetas generadas incluyen shipping mark, Nro de caja y QR en un formato legible.</t>
  </si>
  <si>
    <t>El código QR en la etiqueta contiene la información de la carga con accesos definidos por el superadministrador para el rol correspondiente.</t>
  </si>
  <si>
    <t>dgFlujo_dividirCarga_01-20052025</t>
  </si>
  <si>
    <t>dgSecuencia_dividirCarga_01-20052025</t>
  </si>
  <si>
    <t>dgFlujo_listarEtiquetas_01-20052025</t>
  </si>
  <si>
    <t>dgSecuencia_listarEtiquetas_01-20052025</t>
  </si>
  <si>
    <t>dgCU_cotizarEnvío_01-08052025</t>
  </si>
  <si>
    <t>dgCU_controlarCarga_01-08052025</t>
  </si>
  <si>
    <t>registrarme en el sistema</t>
  </si>
  <si>
    <t>crear mi cuenta y acceder a las funcionalidades personalizadas de la plataforma como cliente.</t>
  </si>
  <si>
    <t>dgCU_packingList_01-08052025</t>
  </si>
  <si>
    <t>dgCu_crearCarga_01-09082025</t>
  </si>
  <si>
    <t>dgCU_escanearQR_01-10052025</t>
  </si>
  <si>
    <t>En la página principal o de inicio de sesión, existe una opción clara para "Registrarse" o "Crear Cuenta".</t>
  </si>
  <si>
    <t>Si todos los datos son válidos, el sistema crea la nueva cuenta de usuario y le asigna automáticamente el tipo de cliente: 1 (cliente).</t>
  </si>
  <si>
    <t>Al seleccionar la opción de registro, el sistema presenta un formulario con los campos obligatorios para el registro de un cliente.</t>
  </si>
  <si>
    <t>dgCU_registrarUsuario_01-10052025</t>
  </si>
  <si>
    <t>dgFlujo_registrarUsuario_01-10052025</t>
  </si>
  <si>
    <t>dgSecuencia_registrarUsuario_01-10052025</t>
  </si>
  <si>
    <t>CA_15_04</t>
  </si>
  <si>
    <t>CA_18_01</t>
  </si>
  <si>
    <t>CA_18_02</t>
  </si>
  <si>
    <t>CA_18_03</t>
  </si>
  <si>
    <t>HU_18</t>
  </si>
  <si>
    <t>dgCU_iniciarSesion_01-10052025</t>
  </si>
  <si>
    <t>dgCU_notificacionCarga_01-11052025</t>
  </si>
  <si>
    <t>Yo como superadministrador necesito gestionar usuarios</t>
  </si>
  <si>
    <t>gestionar los usuarios existentes en el sistema (clientes, bodegueros, administradores, superadministradores)</t>
  </si>
  <si>
    <t>mantener actualizada la información de sus cuentas, crear nuevos usuarios de otros roles y controlar el acceso a la plataforma.</t>
  </si>
  <si>
    <t>Existe una sección de "Administración de Usuarios" accesible para el superadministrador (y posiblemente administradores).</t>
  </si>
  <si>
    <t>El sistema muestra un listado de todos los usuarios registrados, con información relevante (nombre, correo electrónico, rol, estado).</t>
  </si>
  <si>
    <t>dgCU_gestinarAcceso_01-11052025</t>
  </si>
  <si>
    <t>El superadministrador puede crear un nuevo usuario, especificando su tipo de rol (cliente, bodeguero, administrador, superadministrador) y sus credenciales iniciales.</t>
  </si>
  <si>
    <t>dgFlujo_gestionarUsuario_01-12052025</t>
  </si>
  <si>
    <t>dgSecuencia_gestionarUsuarios_01-12052025</t>
  </si>
  <si>
    <t>CA_29_03</t>
  </si>
  <si>
    <t>CA_32_06</t>
  </si>
  <si>
    <t>CA_32_07</t>
  </si>
  <si>
    <t>CA_32_08</t>
  </si>
  <si>
    <t>CA_34_03</t>
  </si>
  <si>
    <t>CA_34_04</t>
  </si>
  <si>
    <t>CA_34_05</t>
  </si>
  <si>
    <t>CA_34_06</t>
  </si>
  <si>
    <t>CA_34_07</t>
  </si>
  <si>
    <t>CA_41_03</t>
  </si>
  <si>
    <t>CA_45_03</t>
  </si>
  <si>
    <t>CA_50_03</t>
  </si>
  <si>
    <t>CA_52_03</t>
  </si>
  <si>
    <t>dgFlujo_imprimirRecibos_01-20052025</t>
  </si>
  <si>
    <t>dgSecuencia_imprimirRecibos_20052025</t>
  </si>
  <si>
    <t>dgFlujo_reintegrarCarga_01-20052025</t>
  </si>
  <si>
    <t>dgSecuencia_reintegrarCarga_01-20052025</t>
  </si>
  <si>
    <t>dgFlujo_generarReporte_01-21052025</t>
  </si>
  <si>
    <t>dgSecuencia_generarReporte_01-21052025</t>
  </si>
  <si>
    <t>dgFlujo_dashboard_01-22052025</t>
  </si>
  <si>
    <t>dgSecuencia_dashboard_01-22052025</t>
  </si>
  <si>
    <t>dgFlujo_compararCajasPL_01-22052025</t>
  </si>
  <si>
    <t>dgSecuencia_compararCajasPL_01-22052025</t>
  </si>
  <si>
    <t>dgFlujo_contarCajas_01-22052025</t>
  </si>
  <si>
    <t>dgSecuencia_contarCajas_01-22052025</t>
  </si>
  <si>
    <t>En la sección "Entrada y salida de cargas" existe una lista de cargas pendientes de aprobación en la interfaz del bodeguero.</t>
  </si>
  <si>
    <t>dgFlujo_aprobarCarga_01-22052025</t>
  </si>
  <si>
    <t>dgSecuencia_aprobarCarga_01-22052025</t>
  </si>
  <si>
    <t>dgFlujo_gestionarInventario_01-26052025</t>
  </si>
  <si>
    <t>dgSecuencia_gestionarInventario_01-26052025</t>
  </si>
  <si>
    <t>dgFlujo_reimprimirEtiqueta_01-26052025</t>
  </si>
  <si>
    <t>dgSecuencia_reimprimirEtiqueta_01-26052025</t>
  </si>
  <si>
    <t>dgFlujo_packingListMaster_01-26052025</t>
  </si>
  <si>
    <t>dgSecuencia_packingListMaster_01-26052025</t>
  </si>
  <si>
    <t>HU_56</t>
  </si>
  <si>
    <t>CA_56_01</t>
  </si>
  <si>
    <t>CA_56_02</t>
  </si>
  <si>
    <t>Gestión de Roles, Permisos y Usuarios</t>
  </si>
  <si>
    <t>CA_56_03</t>
  </si>
  <si>
    <t>dgSecuencia_consigneeNotify_01-26052025</t>
  </si>
  <si>
    <t>dgFlujo_consigneeNotify_01-26052025</t>
  </si>
  <si>
    <t>actualizar el estado de las cargas y el contenedor a "En Despacho"</t>
  </si>
  <si>
    <t>indicar que toda la documentación y preparación interna están completas y que está listo para su salida de la bodega.</t>
  </si>
  <si>
    <t>En la sección de gestión de inventario; existe un campo de búsqueda.</t>
  </si>
  <si>
    <t>En la sección de gestión de inventario (o en la lista de cargas); existen filtros para "Estado"; "Fecha de Recepción"; "Origen" y "Destino".</t>
  </si>
  <si>
    <t>Existe una sección de "Gestión de inventario" accesible para el bodeguero.</t>
  </si>
  <si>
    <t>En la opción opción "Gestión de BL"; el bodeguero puede seleccionar un BL existente y modificar sus campos.</t>
  </si>
  <si>
    <t>Dentro de la sección "Contenedores" existe una opción "Gestión de BL" para la gestión de "Bill of Lading" (BL) de contenedores.</t>
  </si>
  <si>
    <t>En la sección de gestión de inventario o gestión de la carga; existe una opción para "Reimprimir Etiqueta(s)".</t>
  </si>
  <si>
    <t>Dentro de la sección "Gestión de Inventario" existe una funcionalidad para crear un "Packing List Master".</t>
  </si>
  <si>
    <t>El bodeguero puede seleccionar las cargas que se asignarán a un contenedor específico.</t>
  </si>
  <si>
    <t>Al gestionar un contenedor; existe la opción de asignar un "Consignee" (destinatario).</t>
  </si>
  <si>
    <t>Al gestionar un contenedor; existe la opción de asignar un "Notify Party".</t>
  </si>
  <si>
    <t>En la sección de contenedores, se visualiza una lista de contenedores que incluye una columna que indica el estado de su documentación (ej. "Completa", "Incompleta", "Pendiente"), y existe una opción para marcar un contenedor como "Listo para Despacho" o "En Despacho"</t>
  </si>
  <si>
    <t>Cuando el bodeguero intenta marcar un contenedor como "En Despacho", el sistema verifica que su documentación asociada esté completa y validada. Si no lo está, el sistema impide la acción y notifica al bodeguero.</t>
  </si>
  <si>
    <t>Si la documentación está completa y el bodeguero marca el contenedor como "En Despacho", el sistema actualiza automáticamente el estado de todas las cargas asociadas a ese contenedor a "En Despacho".</t>
  </si>
  <si>
    <t>dgFlujo_gestionarDespacho_01-27052025</t>
  </si>
  <si>
    <t>dgSecuencia_gestionarDespacho_01-27052025</t>
  </si>
  <si>
    <t>dgCu_gestionarSesiones_01-28052025</t>
  </si>
  <si>
    <t>dgCu_gestionarCargas_01-27052025</t>
  </si>
  <si>
    <t>dgCu_gestionarEtiquetas_01-28052025</t>
  </si>
  <si>
    <t>dgCu_gestionarDashboard_01-28052025</t>
  </si>
  <si>
    <t>dgCu_recibirAprobarCarga_01-28052025</t>
  </si>
  <si>
    <t>dgCu_gestionarInventario_01-28052025</t>
  </si>
  <si>
    <t>dgCu_generarReportes_01-28052025</t>
  </si>
  <si>
    <t>dgCu_gestionarDocumentos_01-28052025</t>
  </si>
  <si>
    <t>CA_55_03</t>
  </si>
  <si>
    <t>crear draft (borrrador) del bill of landing del contenedor</t>
  </si>
  <si>
    <t>asignar los permisos de un rol</t>
  </si>
  <si>
    <t>En la sección "Gestión de persimos", el superadministrador puede asignar permisos a un rol.</t>
  </si>
  <si>
    <t>deshabilitar los permisos de un rol</t>
  </si>
  <si>
    <t>https://drive.google.com/file/d/1sqITwlNZEbtr482pJ5hcXC6cOzSTXrJs/view?usp=drivesdk</t>
  </si>
  <si>
    <t>https://drive.google.com/file/d/16EkyFNK1rIM_ZFjETwreV9dRuXTwjhIU/view?usp=drivesdk</t>
  </si>
  <si>
    <t>https://drive.google.com/file/d/1tDr7VULR88fz4xYEIBhUJ7VbL_Te1gLG/view?usp=drivesdk</t>
  </si>
  <si>
    <t>https://drive.google.com/file/d/1vQGx2lQXvA07FevooQL2axt2tamZotCv/view?usp=drivesdk</t>
  </si>
  <si>
    <t>https://drive.google.com/file/d/1BSy7vUNuDZA4k-TAin5k1d4AIiiHsohv/view?usp=drivesdk</t>
  </si>
  <si>
    <t>https://drive.google.com/file/d/16yivqJ0ExcE-ZP20LSa9KS8RWpXram_X/view?usp=drivesdk</t>
  </si>
  <si>
    <t>https://drive.google.com/file/d/1Xe70_y83hCy_zX1zR2sVzZuYBGPfoDU5/view?usp=drivesdk</t>
  </si>
  <si>
    <t>https://drive.google.com/file/d/1B_wVriuWv6SK1H53umpYJbAd3g9zg7BC/view?usp=drivesdk</t>
  </si>
  <si>
    <t>https://drive.google.com/file/d/1g2DWVcwIPa8bMhjKJFNou1Gl99kRGh0Y/view?usp=drivesdk</t>
  </si>
  <si>
    <t>https://drive.google.com/file/d/1MLtOLc2ADvW5QwyvEXRUbiSQTyHaQ-yM/view?usp=drivesdk</t>
  </si>
  <si>
    <t>https://drive.google.com/file/d/1ZqwFPC0SLLlvG_0reQ7ddtht3Qt6s9eq/view?usp=drivesdk</t>
  </si>
  <si>
    <t>https://drive.google.com/file/d/1uiRca1T7KBS1ym9fmGLb7B3fZQqDYZcA/view?usp=drivesdk</t>
  </si>
  <si>
    <t>https://drive.google.com/file/d/1hHg96ZCHGhwLHFcmiYFNJJn600TfNMo9/view?usp=drivesdk</t>
  </si>
  <si>
    <t>https://drive.google.com/file/d/1eHzH4JnzIn51-od2IxjIjVjh9f9EDQBK/view?usp=drivesdk</t>
  </si>
  <si>
    <t>https://drive.google.com/file/d/1YVrRVOq36GEya0xiu4TBGb4RAou4TteC/view?usp=drivesdk</t>
  </si>
  <si>
    <t>https://drive.google.com/file/d/1RXtNyXz5iPF1AWZ2p_Kvrc99breRGPaQ/view?usp=drivesdk</t>
  </si>
  <si>
    <t>https://drive.google.com/file/d/1xCI3cJxksQjKiIj3pAX-5STMqoS_SafY/view?usp=drivesdk</t>
  </si>
  <si>
    <t>https://drive.google.com/file/d/1suoefwYHuVH5Ds08nnr4S3DR72ZKBEMa/view?usp=drivesdk</t>
  </si>
  <si>
    <t>https://drive.google.com/file/d/1Ne3skQNJZocMLAYfiMe9qs7LgcG5zpr9/view?usp=drivesdk</t>
  </si>
  <si>
    <t>https://drive.google.com/file/d/1xEK2Gr7fB50EjsxZA592B-0vOVOE6l7I/view?usp=drivesdk</t>
  </si>
  <si>
    <t>https://drive.google.com/file/d/1qiTpVq7vxJx2aAluH2cDdhA8Zrb-eUGQ/view?usp=drivesdk</t>
  </si>
  <si>
    <t>https://drive.google.com/file/d/14yxH1bn03ZddSbnDK12tBDywmhiDnoKq/view?usp=drivesdk</t>
  </si>
  <si>
    <t>https://drive.google.com/file/d/1x7BDdMXO_f5zzYnYZk3anCsV0arX4DkT/view?usp=drivesdk</t>
  </si>
  <si>
    <t>https://drive.google.com/file/d/1F0ZME4xKUqzJbNw9nDIXjI8Nn8jPENnS/view?usp=drivesdk</t>
  </si>
  <si>
    <t>https://drive.google.com/file/d/1kAvjtJvyzy9m1XRjPH6FsLFWJhDpVKZM/view?usp=drivesdk</t>
  </si>
  <si>
    <t>https://drive.google.com/file/d/1ZgQO_VEEGSfszLcZ1QtxK1clZedsHgiz/view?usp=drivesdk</t>
  </si>
  <si>
    <t>https://drive.google.com/file/d/1MMm2Eq4OF-Pj2soNreJr2pI82o9mPdHT/view?usp=drivesdk</t>
  </si>
  <si>
    <t>https://drive.google.com/file/d/1FJCkI51AwCOJTb-TlqT-ZpFIGKZ5hb1y/view?usp=drivesdk</t>
  </si>
  <si>
    <t>https://drive.google.com/file/d/19prvYr9OfvbM1VfnBvmMhd-xwRalZ4HX/view?usp=drivesdk</t>
  </si>
  <si>
    <t>https://drive.google.com/file/d/1uoJldOc6xz2j1Rg5g-EnRB1BzrxiUFLN/view?usp=drivesdk</t>
  </si>
  <si>
    <t>https://drive.google.com/file/d/16JZjvxtOfwmnNYmtZwxf1Dy4cCLH6Bog/view?usp=drivesdk</t>
  </si>
  <si>
    <t>https://drive.google.com/file/d/1C-5-Lu2t6LeM8vcsZLtixVjgvzqVF2JR/view?usp=drivesdk</t>
  </si>
  <si>
    <t>https://drive.google.com/file/d/11XdmyRjFNInpND_rLwRhlUQxO_GuXynr/view?usp=drivesdk</t>
  </si>
  <si>
    <t>https://drive.google.com/file/d/1GB68oQr_QCUA3-fmjHJ8HMHdLWxMAVoh/view?usp=drivesdk</t>
  </si>
  <si>
    <t>https://drive.google.com/file/d/1nCtRiqBGQ1CerKV7K3AmG6bCQtSpVkbq/view?usp=drivesdk</t>
  </si>
  <si>
    <t>https://drive.google.com/file/d/12BaouM-cI3Ovc_mf2lGEaeYgGQIBxk37/view?usp=drivesdk</t>
  </si>
  <si>
    <t>https://drive.google.com/file/d/1j15OA0RWm5ODb8M_bjlKRlx6bDoxRGy6/view?usp=drivesdk</t>
  </si>
  <si>
    <t>https://drive.google.com/file/d/1JtPl5xbKDGRHYAcL7hjzSI5RH55EC788/view?usp=drivesdk</t>
  </si>
  <si>
    <t>https://drive.google.com/file/d/1A8mVaA5bFtpE4bDjPKpKwCt8xxxmbrBn/view?usp=drivesdk</t>
  </si>
  <si>
    <t>https://drive.google.com/file/d/1YeNeHo5eMQXzjtWQMHGur_JUxqDBg8kH/view?usp=drivesdk</t>
  </si>
  <si>
    <t>https://drive.google.com/file/d/1ecuNOQb27VikA449ZZ6dNHyFn6MbQPUp/view?usp=drivesdk</t>
  </si>
  <si>
    <t>https://drive.google.com/file/d/1efXqL8pFqeZHC9yIY0BoGBsWDk9ZHRWa/view?usp=drivesdk</t>
  </si>
  <si>
    <t>https://drive.google.com/file/d/1-g6ELyI4tYbR4SWj-cdpnaKMmJpWTtEQ/view?usp=drivesdk</t>
  </si>
  <si>
    <t>https://drive.google.com/file/d/13H5QqtamXWLXk09nPt3SdDXIwXAO9Tpi/view?usp=drivesdk</t>
  </si>
  <si>
    <t>https://drive.google.com/file/d/1Csy_04i9tTCeG-W2WNSRdVys4iggot4L/view?usp=drivesdk</t>
  </si>
  <si>
    <t>https://drive.google.com/file/d/1ui86W3GmdOAsby7MsFw_CI-rUvC6uJsx/view?usp=drivesdk</t>
  </si>
  <si>
    <t>https://drive.google.com/file/d/1-LPUFl1a7KJ-qbjPCt70lAXnybhRTj5T/view?usp=drivesdk</t>
  </si>
  <si>
    <t>https://drive.google.com/file/d/1A78PuShSKbboftKQP23HRQjoWhTCFsDb/view?usp=drivesdk</t>
  </si>
  <si>
    <t>https://drive.google.com/file/d/1TiGZT5CxgNuL6eZS2EtmqGGHnBckczqH/view?usp=drivesdk</t>
  </si>
  <si>
    <t>https://drive.google.com/file/d/1RFoPcm9mGtwcqCOwRKqJGQIPpcbZvZ0m/view?usp=drivesdk</t>
  </si>
  <si>
    <t>https://drive.google.com/file/d/17rSCxLl9XLPyDnEHOOX3DdXRdPyNnNne/view?usp=drivesdk</t>
  </si>
  <si>
    <t>https://drive.google.com/file/d/1GWhXR9Q4WvfUXZA2rh6_KFMJLbnX66JN/view?usp=drivesdk</t>
  </si>
  <si>
    <t>https://drive.google.com/file/d/1L-4O2g1XNy-apJyOVUCJP2ODnIW1KELv/view?usp=drivesdk</t>
  </si>
  <si>
    <t>https://drive.google.com/file/d/1CkkAwYxCg86_XA6l0TufQBmCqyLN0wxd/view?usp=drivesdk</t>
  </si>
  <si>
    <t>https://drive.google.com/file/d/1L4DVr_czzazw5QY_UkklKdhrat0JWrZH/view?usp=drivesdk</t>
  </si>
  <si>
    <t>https://drive.google.com/file/d/1o_P01WkYh2Sp63FgunTjhzWKfExLrff9/view?usp=drivesdk</t>
  </si>
  <si>
    <t>https://drive.google.com/file/d/1OVs0kNTRhg6BNMWN62j8bbEuarmNB_sy/view?usp=drivesdk</t>
  </si>
  <si>
    <t>https://drive.google.com/file/d/1tBbxiF6rH-hNtMphc7VPwZLo_3mQ6MOS/view?usp=drivesdk</t>
  </si>
  <si>
    <t>https://drive.google.com/file/d/17qS4kZLdMfzlMadxVeJkxow0u8MNwsrN/view?usp=drivesdk</t>
  </si>
  <si>
    <t>https://drive.google.com/file/d/1jB5Fd4sp_2KqTvuHdRyEmHg7Mmar-xCo/view?usp=drivesdk</t>
  </si>
  <si>
    <t>https://drive.google.com/file/d/1-5XzSKce5nd7jpBUivvyE4HTcJwjafb0/view?usp=drivesdk</t>
  </si>
  <si>
    <t>https://drive.google.com/file/d/1NBGEtiLA4d_7ZptylUycKCFD3CM45iSC/view?usp=drivesdk</t>
  </si>
  <si>
    <t>https://drive.google.com/file/d/1hskOFY2wcAsZS2KCa_bK9gYrasPd-OvI/view?usp=drivesdk</t>
  </si>
  <si>
    <t>https://drive.google.com/file/d/1Q8oyPFVDYLgUlVfzHBa0tJv0OwF6_fGL/view?usp=drivesdk</t>
  </si>
  <si>
    <t>https://drive.google.com/file/d/1sqoNfI6Rb9O9spkT1wnOiAS-wCOvi3mV/view?usp=drivesdk</t>
  </si>
  <si>
    <t>https://drive.google.com/file/d/13Yoo4Q_oCSSCm4BsDCCJg6DjUZh_b6Ou/view?usp=drivesdk</t>
  </si>
  <si>
    <t>https://drive.google.com/file/d/1V3EuU8nvcdL0GuVggmHSaZRV_pbF_abk/view?usp=drivesdk</t>
  </si>
  <si>
    <t>https://drive.google.com/file/d/1Xb-g75IdhOWn8BTS6PncmU4zzq1h0YLU/view?usp=drivesdk</t>
  </si>
  <si>
    <t>https://drive.google.com/file/d/174reybyf1qDKDRykbW36AS0YAaMKTykk/view?usp=drivesdk</t>
  </si>
  <si>
    <t>https://drive.google.com/file/d/1YH_wBdxne0gcVvEAG8WAe-7wRoKbu7N1/view?usp=drivesdk</t>
  </si>
  <si>
    <t>https://drive.google.com/file/d/1etM5if-oipqX_0Woz_O4EOt1Ec7gwfff/view?usp=drivesdk</t>
  </si>
  <si>
    <t>https://drive.google.com/file/d/1v4iATrWB9fBUbPsbgFVBmqLE5s1NHFuL/view?usp=drivesdk</t>
  </si>
  <si>
    <t>https://drive.google.com/file/d/18ccHTgBkwHEfbE2y4QD7bKYysim1MdyY/view?usp=drivesdk</t>
  </si>
  <si>
    <t>https://drive.google.com/file/d/1l2283DBSls06BV4QnWLy7w7qj9MgyMhC/view?usp=drivesdk</t>
  </si>
  <si>
    <t>https://drive.google.com/file/d/1OIWeGWHU7k1bnX4Azs_fIJU8h4JJK17a/view?usp=drivesdk</t>
  </si>
  <si>
    <t>https://drive.google.com/file/d/1lcLIk2L690M_neblQq-nduTtaJ407wXM/view?usp=drivesdk</t>
  </si>
  <si>
    <t>https://drive.google.com/file/d/1jsDpXx0e-e89__gtZsG9AQv3akTXz4v-/view?usp=drivesdk</t>
  </si>
  <si>
    <t>https://drive.google.com/file/d/1_PDhmzcxPpxiaI6JYwVKxfdOmo0avGmQ/view?usp=drivesdk</t>
  </si>
  <si>
    <t>https://drive.google.com/file/d/1d_6nSUP0gvawAS7qXcUZ65Xc17WWUdWA/view?usp=drivesdk</t>
  </si>
  <si>
    <t>https://drive.google.com/file/d/12te6Yk_Skcfl2yEYgEdhFa4-nZdkHcDX/view?usp=drivesdk</t>
  </si>
  <si>
    <t>https://drive.google.com/file/d/1xcQeN5Fk6HrSQ4hkp5MM2yJh6qI5h9yV/view?usp=drivesdk</t>
  </si>
  <si>
    <t>https://drive.google.com/file/d/1iLtX9RzEh69C6TAWicanY5NcWlgF94KK/view?usp=drivesdk</t>
  </si>
  <si>
    <t>https://drive.google.com/file/d/1HXFB6G1uzTkOtcFeHbIs0raO61VmomTS/view?usp=drivesdk</t>
  </si>
  <si>
    <t>https://drive.google.com/file/d/1yI4BsUp6BT6iw3Y8sIh04NBAyvKV66rK/view?usp=drivesdk</t>
  </si>
  <si>
    <t>https://drive.google.com/file/d/1n1bE-g_8DNlLAkXqpFBUhO_Ja9oYC2BT/view?usp=drivesdk</t>
  </si>
  <si>
    <t>https://drive.google.com/file/d/1Bc6ZMbB7FpbDBZFbBf7bBrEb0JNgJ6eo/view?usp=drivesdk</t>
  </si>
  <si>
    <t>https://drive.google.com/file/d/1JbFSEHtbXdfmyB1z6prXXEWEqOQ5nRP_/view?usp=drivesdk</t>
  </si>
  <si>
    <t>https://drive.google.com/file/d/1aN1coyj33519X0Kx7qso8lcTdiTWINyA/view?usp=drivesdk</t>
  </si>
  <si>
    <t>https://drive.google.com/file/d/1ljr5wbm692L91fOIHdzkdBWBwV2lARAj/view?usp=drivesdk</t>
  </si>
  <si>
    <t>https://drive.google.com/file/d/1sIkxLbOmGigywTWnfVjXZ1Z_c-iUTRdJ/view?usp=drivesdk</t>
  </si>
  <si>
    <t>https://drive.google.com/file/d/1YHWJAdkNquxR_XOSy9ndzDmqANPFlCOW/view?usp=drivesdk</t>
  </si>
  <si>
    <t>https://drive.google.com/file/d/1P4GOQ3tSX9Q1K17nfV_28piVSUtbxZbZ/view?usp=drivesdk</t>
  </si>
  <si>
    <t>https://drive.google.com/file/d/1-k-5CsJV9M6O_RxEccKT82VMibJ2NOVR/view?usp=drivesdk</t>
  </si>
  <si>
    <t>https://drive.google.com/file/d/1KSFf1BwO-To1f4RHoPLegNq5RUB7F2rP/view?usp=drivesdk</t>
  </si>
  <si>
    <t>https://drive.google.com/file/d/1oEhe2jh09mggqWYxOrKnsWronEAd68i-/view?usp=drivesdk</t>
  </si>
  <si>
    <t>https://drive.google.com/file/d/12PO5rxGZoZ9GuIqKiCjupAHRn3IbLy6G/view?usp=drivesdk</t>
  </si>
  <si>
    <t>Link Caso de Uso</t>
  </si>
  <si>
    <t>Link Diagrama de Flujo</t>
  </si>
  <si>
    <t>Link Diagrama de Secuencia</t>
  </si>
  <si>
    <t>recuperar mi contraseña mediante mi número de whatsapp registrado</t>
  </si>
  <si>
    <t>Al hacer clic; se solicita el número registrado del usuario.</t>
  </si>
  <si>
    <t>Al ingresar el correo electrónico; el sistema envía un mensaje por whatsapp a ese número con un enlace para restablecer la contraseña.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</si>
</sst>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4"/>
      <color theme="1"/>
      <name val="Calibri"/>
      <family val="2"/>
    </font>
    <font>
      <sz val="11"/>
      <color theme="1"/>
      <name val="Calibri"/>
      <family val="2"/>
    </font>
    <font>
      <sz val="10"/>
      <color theme="1"/>
      <name val="Calibri"/>
      <family val="2"/>
      <scheme val="minor"/>
    </font>
    <font>
      <b/>
      <sz val="10"/>
      <color theme="1"/>
      <name val="Calibri"/>
      <family val="2"/>
      <scheme val="minor"/>
    </font>
    <font>
      <b/>
      <sz val="10"/>
      <name val="Calibri"/>
      <family val="2"/>
    </font>
    <font>
      <b/>
      <i/>
      <sz val="10"/>
      <name val="Calibri"/>
      <family val="2"/>
    </font>
    <font>
      <b/>
      <sz val="10"/>
      <name val="Calibri"/>
      <family val="2"/>
      <scheme val="minor"/>
    </font>
    <font>
      <sz val="10"/>
      <name val="Calibri"/>
      <family val="2"/>
    </font>
    <font>
      <b/>
      <sz val="10"/>
      <color rgb="FF1B1C1D"/>
      <name val="Calibri"/>
      <family val="2"/>
      <scheme val="minor"/>
    </font>
    <font>
      <i/>
      <sz val="10"/>
      <name val="Calibri"/>
      <family val="2"/>
    </font>
    <font>
      <sz val="10"/>
      <color rgb="FF1B1C1D"/>
      <name val="Calibri"/>
      <family val="2"/>
      <scheme val="minor"/>
    </font>
    <font>
      <u/>
      <sz val="11"/>
      <color theme="10"/>
      <name val="Calibri"/>
      <family val="2"/>
      <scheme val="minor"/>
    </font>
    <font>
      <sz val="11"/>
      <name val="Calibri"/>
      <family val="2"/>
      <scheme val="minor"/>
    </font>
    <font>
      <sz val="10"/>
      <name val="Calibri"/>
      <family val="2"/>
      <scheme val="minor"/>
    </font>
  </fonts>
  <fills count="4">
    <fill>
      <patternFill patternType="none"/>
    </fill>
    <fill>
      <patternFill patternType="gray125"/>
    </fill>
    <fill>
      <patternFill patternType="solid">
        <fgColor theme="0"/>
        <bgColor theme="0"/>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thin">
        <color rgb="FF000000"/>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5" fillId="0" borderId="0" applyNumberFormat="0" applyFill="0" applyBorder="0" applyAlignment="0" applyProtection="0"/>
  </cellStyleXfs>
  <cellXfs count="73">
    <xf numFmtId="0" fontId="0" fillId="0" borderId="0" xfId="0"/>
    <xf numFmtId="0" fontId="1" fillId="0" borderId="1" xfId="0" applyFont="1" applyBorder="1" applyAlignment="1">
      <alignment horizontal="center"/>
    </xf>
    <xf numFmtId="0" fontId="0" fillId="0" borderId="5" xfId="0" applyBorder="1" applyAlignment="1">
      <alignment vertical="center" wrapText="1"/>
    </xf>
    <xf numFmtId="0" fontId="0" fillId="0" borderId="7"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6" fillId="0" borderId="0" xfId="0" applyFont="1"/>
    <xf numFmtId="0" fontId="6" fillId="0" borderId="0" xfId="0" applyFont="1" applyAlignment="1"/>
    <xf numFmtId="0" fontId="6" fillId="0" borderId="0" xfId="0" applyFont="1" applyAlignment="1">
      <alignment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6" fillId="0" borderId="1" xfId="0" applyFont="1" applyBorder="1" applyAlignment="1">
      <alignment vertical="center"/>
    </xf>
    <xf numFmtId="0" fontId="7" fillId="0" borderId="0" xfId="0" applyFont="1" applyAlignment="1">
      <alignment vertical="center" wrapText="1"/>
    </xf>
    <xf numFmtId="0" fontId="7" fillId="0" borderId="0" xfId="0" applyFont="1" applyBorder="1" applyAlignment="1">
      <alignment vertical="center" wrapText="1"/>
    </xf>
    <xf numFmtId="0" fontId="0" fillId="0" borderId="0" xfId="0" applyFont="1" applyAlignment="1">
      <alignment wrapText="1"/>
    </xf>
    <xf numFmtId="0" fontId="11" fillId="0" borderId="1" xfId="0" applyFont="1" applyBorder="1" applyAlignment="1">
      <alignment vertical="center" wrapText="1"/>
    </xf>
    <xf numFmtId="0" fontId="16" fillId="0" borderId="0" xfId="0" applyFont="1"/>
    <xf numFmtId="0" fontId="6" fillId="0" borderId="1" xfId="0" applyFont="1" applyBorder="1" applyAlignment="1">
      <alignment wrapText="1"/>
    </xf>
    <xf numFmtId="0" fontId="0" fillId="0" borderId="1" xfId="0" applyBorder="1" applyAlignment="1">
      <alignment wrapText="1"/>
    </xf>
    <xf numFmtId="0" fontId="0" fillId="0" borderId="1" xfId="0" applyFont="1" applyBorder="1" applyAlignment="1">
      <alignment wrapText="1"/>
    </xf>
    <xf numFmtId="0" fontId="0" fillId="0" borderId="0" xfId="0" applyBorder="1"/>
    <xf numFmtId="0" fontId="7" fillId="0" borderId="1" xfId="0" applyFont="1" applyBorder="1" applyAlignment="1">
      <alignment horizontal="center" vertical="center" wrapText="1"/>
    </xf>
    <xf numFmtId="0" fontId="7" fillId="3"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14" fillId="0" borderId="1" xfId="0" applyFont="1" applyBorder="1" applyAlignment="1">
      <alignment horizontal="left" vertical="center" wrapText="1"/>
    </xf>
    <xf numFmtId="0" fontId="0" fillId="0" borderId="1" xfId="0" applyBorder="1" applyAlignment="1">
      <alignment vertical="center" wrapText="1"/>
    </xf>
    <xf numFmtId="0" fontId="0" fillId="0" borderId="0" xfId="0" applyAlignment="1">
      <alignment vertical="center"/>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0" fillId="0" borderId="10" xfId="0" applyBorder="1" applyAlignment="1">
      <alignment horizontal="left" vertical="center" wrapText="1"/>
    </xf>
    <xf numFmtId="0" fontId="0" fillId="0" borderId="11" xfId="0" applyBorder="1" applyAlignment="1">
      <alignment horizontal="left" vertical="center"/>
    </xf>
    <xf numFmtId="0" fontId="0" fillId="0" borderId="12" xfId="0" applyBorder="1" applyAlignment="1">
      <alignment horizontal="left" vertical="center"/>
    </xf>
    <xf numFmtId="0" fontId="2" fillId="0" borderId="1" xfId="0" applyFont="1" applyBorder="1" applyAlignment="1">
      <alignment horizontal="center"/>
    </xf>
    <xf numFmtId="0" fontId="3" fillId="0" borderId="1" xfId="0" applyFont="1" applyBorder="1" applyAlignment="1">
      <alignment horizontal="center"/>
    </xf>
    <xf numFmtId="0" fontId="4" fillId="0" borderId="2" xfId="0" applyFont="1" applyBorder="1" applyAlignment="1">
      <alignment horizontal="center" vertical="center"/>
    </xf>
    <xf numFmtId="0" fontId="3" fillId="0" borderId="3" xfId="0" applyFont="1" applyBorder="1" applyAlignment="1">
      <alignment horizontal="center"/>
    </xf>
    <xf numFmtId="0" fontId="5" fillId="0" borderId="2" xfId="0" applyFont="1" applyBorder="1" applyAlignment="1">
      <alignment horizontal="center" vertical="center" wrapText="1"/>
    </xf>
    <xf numFmtId="0" fontId="3" fillId="0" borderId="3" xfId="0" applyFont="1" applyBorder="1"/>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8" xfId="0" applyFont="1" applyBorder="1" applyAlignment="1">
      <alignment horizontal="center" vertical="center"/>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 xfId="0" applyFont="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center" vertical="center" wrapText="1"/>
    </xf>
    <xf numFmtId="0" fontId="7" fillId="3"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3" fillId="0"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 fillId="0" borderId="1" xfId="0" applyFont="1" applyBorder="1" applyAlignment="1">
      <alignment horizontal="center" vertical="center" wrapText="1"/>
    </xf>
    <xf numFmtId="0" fontId="8" fillId="0" borderId="1" xfId="0" applyFont="1" applyBorder="1" applyAlignment="1">
      <alignment horizontal="center" vertical="top" wrapText="1"/>
    </xf>
    <xf numFmtId="0" fontId="8" fillId="0" borderId="1" xfId="0" applyFont="1" applyBorder="1" applyAlignment="1">
      <alignment wrapText="1"/>
    </xf>
    <xf numFmtId="0" fontId="10" fillId="2" borderId="1" xfId="0" applyFont="1" applyFill="1" applyBorder="1" applyAlignment="1">
      <alignment horizontal="center" vertical="center" wrapText="1"/>
    </xf>
    <xf numFmtId="0" fontId="16" fillId="0" borderId="1" xfId="1" applyFont="1" applyBorder="1" applyAlignment="1">
      <alignment horizontal="center" vertical="center" wrapText="1"/>
    </xf>
    <xf numFmtId="0" fontId="17" fillId="0" borderId="1"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
  <dimension ref="A1:D34"/>
  <sheetViews>
    <sheetView workbookViewId="0">
      <selection activeCell="C12" sqref="C12"/>
    </sheetView>
  </sheetViews>
  <sheetFormatPr baseColWidth="10" defaultRowHeight="15" x14ac:dyDescent="0.25"/>
  <cols>
    <col min="1" max="1" width="19.42578125" customWidth="1"/>
    <col min="2" max="2" width="36.140625" customWidth="1"/>
    <col min="3" max="3" width="76.28515625" customWidth="1"/>
    <col min="4" max="4" width="40.85546875" customWidth="1"/>
  </cols>
  <sheetData>
    <row r="1" spans="1:4" ht="15.75" x14ac:dyDescent="0.25">
      <c r="A1" s="42" t="s">
        <v>0</v>
      </c>
      <c r="B1" s="43"/>
      <c r="C1" s="42" t="s">
        <v>1</v>
      </c>
      <c r="D1" s="43"/>
    </row>
    <row r="2" spans="1:4" ht="72.75" customHeight="1" x14ac:dyDescent="0.25">
      <c r="A2" s="44" t="s">
        <v>2</v>
      </c>
      <c r="B2" s="45"/>
      <c r="C2" s="46" t="s">
        <v>71</v>
      </c>
      <c r="D2" s="47"/>
    </row>
    <row r="3" spans="1:4" x14ac:dyDescent="0.25">
      <c r="A3" s="1" t="s">
        <v>3</v>
      </c>
      <c r="B3" s="1" t="s">
        <v>4</v>
      </c>
      <c r="C3" s="1" t="s">
        <v>5</v>
      </c>
      <c r="D3" s="1" t="s">
        <v>6</v>
      </c>
    </row>
    <row r="4" spans="1:4" ht="15" customHeight="1" x14ac:dyDescent="0.25">
      <c r="A4" s="48" t="s">
        <v>25</v>
      </c>
      <c r="B4" s="5" t="s">
        <v>7</v>
      </c>
      <c r="C4" s="2" t="s">
        <v>8</v>
      </c>
      <c r="D4" s="39" t="s">
        <v>70</v>
      </c>
    </row>
    <row r="5" spans="1:4" ht="15" customHeight="1" x14ac:dyDescent="0.25">
      <c r="A5" s="49"/>
      <c r="B5" s="6" t="s">
        <v>9</v>
      </c>
      <c r="C5" s="3" t="s">
        <v>10</v>
      </c>
      <c r="D5" s="40"/>
    </row>
    <row r="6" spans="1:4" ht="15" customHeight="1" x14ac:dyDescent="0.25">
      <c r="A6" s="49"/>
      <c r="B6" s="6" t="s">
        <v>11</v>
      </c>
      <c r="C6" s="3" t="s">
        <v>12</v>
      </c>
      <c r="D6" s="40"/>
    </row>
    <row r="7" spans="1:4" ht="15" customHeight="1" x14ac:dyDescent="0.25">
      <c r="A7" s="49"/>
      <c r="B7" s="6" t="s">
        <v>13</v>
      </c>
      <c r="C7" s="3" t="s">
        <v>14</v>
      </c>
      <c r="D7" s="40"/>
    </row>
    <row r="8" spans="1:4" ht="15" customHeight="1" x14ac:dyDescent="0.25">
      <c r="A8" s="49"/>
      <c r="B8" s="6" t="s">
        <v>15</v>
      </c>
      <c r="C8" s="3" t="s">
        <v>16</v>
      </c>
      <c r="D8" s="40"/>
    </row>
    <row r="9" spans="1:4" ht="15" customHeight="1" x14ac:dyDescent="0.25">
      <c r="A9" s="49"/>
      <c r="B9" s="6" t="s">
        <v>17</v>
      </c>
      <c r="C9" s="3" t="s">
        <v>18</v>
      </c>
      <c r="D9" s="40"/>
    </row>
    <row r="10" spans="1:4" ht="15" customHeight="1" x14ac:dyDescent="0.25">
      <c r="A10" s="49"/>
      <c r="B10" s="6" t="s">
        <v>19</v>
      </c>
      <c r="C10" s="3" t="s">
        <v>20</v>
      </c>
      <c r="D10" s="40"/>
    </row>
    <row r="11" spans="1:4" ht="15" customHeight="1" x14ac:dyDescent="0.25">
      <c r="A11" s="49"/>
      <c r="B11" s="6" t="s">
        <v>21</v>
      </c>
      <c r="C11" s="3" t="s">
        <v>22</v>
      </c>
      <c r="D11" s="40"/>
    </row>
    <row r="12" spans="1:4" ht="15" customHeight="1" x14ac:dyDescent="0.25">
      <c r="A12" s="50"/>
      <c r="B12" s="7" t="s">
        <v>23</v>
      </c>
      <c r="C12" s="4" t="s">
        <v>24</v>
      </c>
      <c r="D12" s="40"/>
    </row>
    <row r="13" spans="1:4" x14ac:dyDescent="0.25">
      <c r="A13" s="36" t="s">
        <v>46</v>
      </c>
      <c r="B13" s="5" t="s">
        <v>26</v>
      </c>
      <c r="C13" s="2" t="s">
        <v>27</v>
      </c>
      <c r="D13" s="40"/>
    </row>
    <row r="14" spans="1:4" x14ac:dyDescent="0.25">
      <c r="A14" s="37"/>
      <c r="B14" s="6" t="s">
        <v>28</v>
      </c>
      <c r="C14" s="3" t="s">
        <v>29</v>
      </c>
      <c r="D14" s="40"/>
    </row>
    <row r="15" spans="1:4" x14ac:dyDescent="0.25">
      <c r="A15" s="37"/>
      <c r="B15" s="6" t="s">
        <v>44</v>
      </c>
      <c r="C15" s="3" t="s">
        <v>30</v>
      </c>
      <c r="D15" s="40"/>
    </row>
    <row r="16" spans="1:4" x14ac:dyDescent="0.25">
      <c r="A16" s="37"/>
      <c r="B16" s="6" t="s">
        <v>45</v>
      </c>
      <c r="C16" s="3" t="s">
        <v>31</v>
      </c>
      <c r="D16" s="40"/>
    </row>
    <row r="17" spans="1:4" x14ac:dyDescent="0.25">
      <c r="A17" s="37"/>
      <c r="B17" s="6" t="s">
        <v>32</v>
      </c>
      <c r="C17" s="3" t="s">
        <v>33</v>
      </c>
      <c r="D17" s="40"/>
    </row>
    <row r="18" spans="1:4" x14ac:dyDescent="0.25">
      <c r="A18" s="37"/>
      <c r="B18" s="6" t="s">
        <v>34</v>
      </c>
      <c r="C18" s="3" t="s">
        <v>35</v>
      </c>
      <c r="D18" s="40"/>
    </row>
    <row r="19" spans="1:4" ht="30" x14ac:dyDescent="0.25">
      <c r="A19" s="37"/>
      <c r="B19" s="6" t="s">
        <v>36</v>
      </c>
      <c r="C19" s="3" t="s">
        <v>37</v>
      </c>
      <c r="D19" s="40"/>
    </row>
    <row r="20" spans="1:4" x14ac:dyDescent="0.25">
      <c r="A20" s="37"/>
      <c r="B20" s="6" t="s">
        <v>38</v>
      </c>
      <c r="C20" s="3" t="s">
        <v>39</v>
      </c>
      <c r="D20" s="40"/>
    </row>
    <row r="21" spans="1:4" x14ac:dyDescent="0.25">
      <c r="A21" s="37"/>
      <c r="B21" s="6" t="s">
        <v>23</v>
      </c>
      <c r="C21" s="3" t="s">
        <v>40</v>
      </c>
      <c r="D21" s="40"/>
    </row>
    <row r="22" spans="1:4" x14ac:dyDescent="0.25">
      <c r="A22" s="37"/>
      <c r="B22" s="6" t="s">
        <v>41</v>
      </c>
      <c r="C22" s="3" t="s">
        <v>42</v>
      </c>
      <c r="D22" s="40"/>
    </row>
    <row r="23" spans="1:4" x14ac:dyDescent="0.25">
      <c r="A23" s="38"/>
      <c r="B23" s="7" t="s">
        <v>21</v>
      </c>
      <c r="C23" s="4" t="s">
        <v>43</v>
      </c>
      <c r="D23" s="40"/>
    </row>
    <row r="24" spans="1:4" x14ac:dyDescent="0.25">
      <c r="A24" s="36" t="s">
        <v>69</v>
      </c>
      <c r="B24" s="5" t="s">
        <v>47</v>
      </c>
      <c r="C24" s="2" t="s">
        <v>48</v>
      </c>
      <c r="D24" s="40"/>
    </row>
    <row r="25" spans="1:4" x14ac:dyDescent="0.25">
      <c r="A25" s="37"/>
      <c r="B25" s="6" t="s">
        <v>49</v>
      </c>
      <c r="C25" s="3" t="s">
        <v>50</v>
      </c>
      <c r="D25" s="40"/>
    </row>
    <row r="26" spans="1:4" x14ac:dyDescent="0.25">
      <c r="A26" s="37"/>
      <c r="B26" s="6" t="s">
        <v>51</v>
      </c>
      <c r="C26" s="3" t="s">
        <v>52</v>
      </c>
      <c r="D26" s="40"/>
    </row>
    <row r="27" spans="1:4" x14ac:dyDescent="0.25">
      <c r="A27" s="37"/>
      <c r="B27" s="6" t="s">
        <v>53</v>
      </c>
      <c r="C27" s="3" t="s">
        <v>54</v>
      </c>
      <c r="D27" s="40"/>
    </row>
    <row r="28" spans="1:4" x14ac:dyDescent="0.25">
      <c r="A28" s="37"/>
      <c r="B28" s="6" t="s">
        <v>55</v>
      </c>
      <c r="C28" s="3" t="s">
        <v>56</v>
      </c>
      <c r="D28" s="40"/>
    </row>
    <row r="29" spans="1:4" x14ac:dyDescent="0.25">
      <c r="A29" s="37"/>
      <c r="B29" s="6" t="s">
        <v>57</v>
      </c>
      <c r="C29" s="3" t="s">
        <v>58</v>
      </c>
      <c r="D29" s="40"/>
    </row>
    <row r="30" spans="1:4" x14ac:dyDescent="0.25">
      <c r="A30" s="37"/>
      <c r="B30" s="6" t="s">
        <v>59</v>
      </c>
      <c r="C30" s="3" t="s">
        <v>60</v>
      </c>
      <c r="D30" s="40"/>
    </row>
    <row r="31" spans="1:4" x14ac:dyDescent="0.25">
      <c r="A31" s="37"/>
      <c r="B31" s="6" t="s">
        <v>61</v>
      </c>
      <c r="C31" s="3" t="s">
        <v>62</v>
      </c>
      <c r="D31" s="40"/>
    </row>
    <row r="32" spans="1:4" x14ac:dyDescent="0.25">
      <c r="A32" s="37"/>
      <c r="B32" s="6" t="s">
        <v>63</v>
      </c>
      <c r="C32" s="3" t="s">
        <v>64</v>
      </c>
      <c r="D32" s="40"/>
    </row>
    <row r="33" spans="1:4" x14ac:dyDescent="0.25">
      <c r="A33" s="37"/>
      <c r="B33" s="6" t="s">
        <v>65</v>
      </c>
      <c r="C33" s="3" t="s">
        <v>66</v>
      </c>
      <c r="D33" s="40"/>
    </row>
    <row r="34" spans="1:4" x14ac:dyDescent="0.25">
      <c r="A34" s="38"/>
      <c r="B34" s="7" t="s">
        <v>67</v>
      </c>
      <c r="C34" s="4" t="s">
        <v>68</v>
      </c>
      <c r="D34" s="41"/>
    </row>
  </sheetData>
  <mergeCells count="8">
    <mergeCell ref="A24:A34"/>
    <mergeCell ref="D4:D34"/>
    <mergeCell ref="A1:B1"/>
    <mergeCell ref="C1:D1"/>
    <mergeCell ref="A2:B2"/>
    <mergeCell ref="C2:D2"/>
    <mergeCell ref="A4:A12"/>
    <mergeCell ref="A13:A23"/>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G36"/>
  <sheetViews>
    <sheetView workbookViewId="0">
      <selection activeCell="C14" sqref="C14"/>
    </sheetView>
  </sheetViews>
  <sheetFormatPr baseColWidth="10" defaultRowHeight="12.75" x14ac:dyDescent="0.2"/>
  <cols>
    <col min="1" max="1" width="13.7109375" style="9" customWidth="1"/>
    <col min="2" max="2" width="20.140625" style="9" customWidth="1"/>
    <col min="3" max="3" width="32.42578125" style="10" customWidth="1"/>
    <col min="4" max="4" width="7.7109375" style="9" bestFit="1" customWidth="1"/>
    <col min="5" max="5" width="12" style="9" bestFit="1" customWidth="1"/>
    <col min="6" max="6" width="7.85546875" style="9" bestFit="1" customWidth="1"/>
    <col min="7" max="7" width="38" style="9" bestFit="1" customWidth="1"/>
    <col min="8" max="16384" width="11.42578125" style="8"/>
  </cols>
  <sheetData>
    <row r="1" spans="1:7" ht="15.75" x14ac:dyDescent="0.25">
      <c r="A1" s="42" t="s">
        <v>81</v>
      </c>
      <c r="B1" s="42"/>
      <c r="C1" s="42"/>
      <c r="D1" s="42"/>
      <c r="E1" s="42"/>
      <c r="F1" s="42"/>
      <c r="G1" s="42"/>
    </row>
    <row r="2" spans="1:7" x14ac:dyDescent="0.2">
      <c r="A2" s="11" t="s">
        <v>72</v>
      </c>
      <c r="B2" s="11" t="s">
        <v>73</v>
      </c>
      <c r="C2" s="12" t="s">
        <v>78</v>
      </c>
      <c r="D2" s="11" t="s">
        <v>75</v>
      </c>
      <c r="E2" s="11" t="s">
        <v>79</v>
      </c>
      <c r="F2" s="11" t="s">
        <v>84</v>
      </c>
      <c r="G2" s="11" t="s">
        <v>80</v>
      </c>
    </row>
    <row r="3" spans="1:7" ht="25.5" x14ac:dyDescent="0.2">
      <c r="A3" s="51" t="s">
        <v>25</v>
      </c>
      <c r="B3" s="13" t="s">
        <v>82</v>
      </c>
      <c r="C3" s="14" t="s">
        <v>83</v>
      </c>
      <c r="D3" s="12" t="s">
        <v>75</v>
      </c>
      <c r="E3" s="13" t="s">
        <v>25</v>
      </c>
      <c r="F3" s="14" t="s">
        <v>84</v>
      </c>
      <c r="G3" s="15" t="s">
        <v>135</v>
      </c>
    </row>
    <row r="4" spans="1:7" ht="25.5" x14ac:dyDescent="0.2">
      <c r="A4" s="52"/>
      <c r="B4" s="13" t="s">
        <v>85</v>
      </c>
      <c r="C4" s="14" t="s">
        <v>86</v>
      </c>
      <c r="D4" s="12" t="s">
        <v>75</v>
      </c>
      <c r="E4" s="13" t="s">
        <v>25</v>
      </c>
      <c r="F4" s="14" t="s">
        <v>84</v>
      </c>
      <c r="G4" s="15" t="s">
        <v>136</v>
      </c>
    </row>
    <row r="5" spans="1:7" ht="25.5" x14ac:dyDescent="0.2">
      <c r="A5" s="52"/>
      <c r="B5" s="13" t="s">
        <v>87</v>
      </c>
      <c r="C5" s="14" t="s">
        <v>88</v>
      </c>
      <c r="D5" s="12" t="s">
        <v>75</v>
      </c>
      <c r="E5" s="13" t="s">
        <v>25</v>
      </c>
      <c r="F5" s="14" t="s">
        <v>84</v>
      </c>
      <c r="G5" s="15" t="s">
        <v>137</v>
      </c>
    </row>
    <row r="6" spans="1:7" ht="25.5" x14ac:dyDescent="0.2">
      <c r="A6" s="52"/>
      <c r="B6" s="13" t="s">
        <v>89</v>
      </c>
      <c r="C6" s="14" t="s">
        <v>90</v>
      </c>
      <c r="D6" s="12" t="s">
        <v>75</v>
      </c>
      <c r="E6" s="13" t="s">
        <v>25</v>
      </c>
      <c r="F6" s="14" t="s">
        <v>84</v>
      </c>
      <c r="G6" s="15" t="s">
        <v>138</v>
      </c>
    </row>
    <row r="7" spans="1:7" ht="25.5" x14ac:dyDescent="0.2">
      <c r="A7" s="52"/>
      <c r="B7" s="13" t="s">
        <v>91</v>
      </c>
      <c r="C7" s="14" t="s">
        <v>92</v>
      </c>
      <c r="D7" s="12" t="s">
        <v>75</v>
      </c>
      <c r="E7" s="13" t="s">
        <v>25</v>
      </c>
      <c r="F7" s="14" t="s">
        <v>84</v>
      </c>
      <c r="G7" s="15" t="s">
        <v>139</v>
      </c>
    </row>
    <row r="8" spans="1:7" ht="25.5" x14ac:dyDescent="0.2">
      <c r="A8" s="52"/>
      <c r="B8" s="13" t="s">
        <v>93</v>
      </c>
      <c r="C8" s="14" t="s">
        <v>94</v>
      </c>
      <c r="D8" s="12" t="s">
        <v>75</v>
      </c>
      <c r="E8" s="13" t="s">
        <v>25</v>
      </c>
      <c r="F8" s="14" t="s">
        <v>84</v>
      </c>
      <c r="G8" s="15" t="s">
        <v>140</v>
      </c>
    </row>
    <row r="9" spans="1:7" ht="25.5" x14ac:dyDescent="0.2">
      <c r="A9" s="52"/>
      <c r="B9" s="13" t="s">
        <v>95</v>
      </c>
      <c r="C9" s="14" t="s">
        <v>96</v>
      </c>
      <c r="D9" s="12" t="s">
        <v>75</v>
      </c>
      <c r="E9" s="13" t="s">
        <v>25</v>
      </c>
      <c r="F9" s="14" t="s">
        <v>84</v>
      </c>
      <c r="G9" s="15" t="s">
        <v>141</v>
      </c>
    </row>
    <row r="10" spans="1:7" ht="25.5" x14ac:dyDescent="0.2">
      <c r="A10" s="53"/>
      <c r="B10" s="13" t="s">
        <v>97</v>
      </c>
      <c r="C10" s="14" t="s">
        <v>98</v>
      </c>
      <c r="D10" s="12" t="s">
        <v>75</v>
      </c>
      <c r="E10" s="13" t="s">
        <v>25</v>
      </c>
      <c r="F10" s="14" t="s">
        <v>84</v>
      </c>
      <c r="G10" s="15" t="s">
        <v>142</v>
      </c>
    </row>
    <row r="11" spans="1:7" ht="25.5" x14ac:dyDescent="0.2">
      <c r="A11" s="51" t="s">
        <v>46</v>
      </c>
      <c r="B11" s="13" t="s">
        <v>99</v>
      </c>
      <c r="C11" s="14" t="s">
        <v>100</v>
      </c>
      <c r="D11" s="12" t="s">
        <v>75</v>
      </c>
      <c r="E11" s="13" t="s">
        <v>101</v>
      </c>
      <c r="F11" s="14" t="s">
        <v>84</v>
      </c>
      <c r="G11" s="15" t="s">
        <v>143</v>
      </c>
    </row>
    <row r="12" spans="1:7" ht="25.5" x14ac:dyDescent="0.2">
      <c r="A12" s="52"/>
      <c r="B12" s="13" t="s">
        <v>102</v>
      </c>
      <c r="C12" s="14" t="s">
        <v>103</v>
      </c>
      <c r="D12" s="12" t="s">
        <v>75</v>
      </c>
      <c r="E12" s="13" t="s">
        <v>101</v>
      </c>
      <c r="F12" s="14" t="s">
        <v>84</v>
      </c>
      <c r="G12" s="15" t="s">
        <v>144</v>
      </c>
    </row>
    <row r="13" spans="1:7" ht="25.5" x14ac:dyDescent="0.2">
      <c r="A13" s="52"/>
      <c r="B13" s="13" t="s">
        <v>104</v>
      </c>
      <c r="C13" s="14" t="s">
        <v>105</v>
      </c>
      <c r="D13" s="12" t="s">
        <v>75</v>
      </c>
      <c r="E13" s="13" t="s">
        <v>101</v>
      </c>
      <c r="F13" s="14" t="s">
        <v>84</v>
      </c>
      <c r="G13" s="15" t="s">
        <v>145</v>
      </c>
    </row>
    <row r="14" spans="1:7" ht="25.5" x14ac:dyDescent="0.2">
      <c r="A14" s="52"/>
      <c r="B14" s="13" t="s">
        <v>106</v>
      </c>
      <c r="C14" s="14" t="s">
        <v>107</v>
      </c>
      <c r="D14" s="12" t="s">
        <v>75</v>
      </c>
      <c r="E14" s="13" t="s">
        <v>101</v>
      </c>
      <c r="F14" s="14" t="s">
        <v>84</v>
      </c>
      <c r="G14" s="15" t="s">
        <v>146</v>
      </c>
    </row>
    <row r="15" spans="1:7" ht="25.5" x14ac:dyDescent="0.2">
      <c r="A15" s="52"/>
      <c r="B15" s="13" t="s">
        <v>108</v>
      </c>
      <c r="C15" s="14" t="s">
        <v>109</v>
      </c>
      <c r="D15" s="12" t="s">
        <v>75</v>
      </c>
      <c r="E15" s="13" t="s">
        <v>101</v>
      </c>
      <c r="F15" s="14" t="s">
        <v>84</v>
      </c>
      <c r="G15" s="15" t="s">
        <v>142</v>
      </c>
    </row>
    <row r="16" spans="1:7" ht="25.5" x14ac:dyDescent="0.2">
      <c r="A16" s="52"/>
      <c r="B16" s="13" t="s">
        <v>110</v>
      </c>
      <c r="C16" s="14" t="s">
        <v>111</v>
      </c>
      <c r="D16" s="12" t="s">
        <v>75</v>
      </c>
      <c r="E16" s="13" t="s">
        <v>101</v>
      </c>
      <c r="F16" s="14" t="s">
        <v>84</v>
      </c>
      <c r="G16" s="15" t="s">
        <v>147</v>
      </c>
    </row>
    <row r="17" spans="1:7" ht="38.25" x14ac:dyDescent="0.2">
      <c r="A17" s="52"/>
      <c r="B17" s="15" t="s">
        <v>158</v>
      </c>
      <c r="C17" s="16" t="s">
        <v>160</v>
      </c>
      <c r="D17" s="12" t="s">
        <v>75</v>
      </c>
      <c r="E17" s="13" t="s">
        <v>101</v>
      </c>
      <c r="F17" s="14" t="s">
        <v>84</v>
      </c>
      <c r="G17" s="13" t="s">
        <v>161</v>
      </c>
    </row>
    <row r="18" spans="1:7" ht="25.5" x14ac:dyDescent="0.2">
      <c r="A18" s="53"/>
      <c r="B18" s="13" t="s">
        <v>112</v>
      </c>
      <c r="C18" s="14" t="s">
        <v>113</v>
      </c>
      <c r="D18" s="12" t="s">
        <v>75</v>
      </c>
      <c r="E18" s="13" t="s">
        <v>101</v>
      </c>
      <c r="F18" s="14" t="s">
        <v>84</v>
      </c>
      <c r="G18" s="15" t="s">
        <v>141</v>
      </c>
    </row>
    <row r="19" spans="1:7" ht="25.5" x14ac:dyDescent="0.2">
      <c r="A19" s="54" t="s">
        <v>69</v>
      </c>
      <c r="B19" s="13" t="s">
        <v>114</v>
      </c>
      <c r="C19" s="14" t="s">
        <v>115</v>
      </c>
      <c r="D19" s="12" t="s">
        <v>75</v>
      </c>
      <c r="E19" s="13" t="s">
        <v>116</v>
      </c>
      <c r="F19" s="14" t="s">
        <v>84</v>
      </c>
      <c r="G19" s="15" t="s">
        <v>148</v>
      </c>
    </row>
    <row r="20" spans="1:7" ht="25.5" x14ac:dyDescent="0.2">
      <c r="A20" s="54"/>
      <c r="B20" s="13" t="s">
        <v>117</v>
      </c>
      <c r="C20" s="14" t="s">
        <v>118</v>
      </c>
      <c r="D20" s="12" t="s">
        <v>75</v>
      </c>
      <c r="E20" s="13" t="s">
        <v>116</v>
      </c>
      <c r="F20" s="14" t="s">
        <v>84</v>
      </c>
      <c r="G20" s="15" t="s">
        <v>149</v>
      </c>
    </row>
    <row r="21" spans="1:7" ht="25.5" x14ac:dyDescent="0.2">
      <c r="A21" s="54"/>
      <c r="B21" s="13" t="s">
        <v>119</v>
      </c>
      <c r="C21" s="14" t="s">
        <v>120</v>
      </c>
      <c r="D21" s="12" t="s">
        <v>75</v>
      </c>
      <c r="E21" s="13" t="s">
        <v>116</v>
      </c>
      <c r="F21" s="14" t="s">
        <v>84</v>
      </c>
      <c r="G21" s="15" t="s">
        <v>150</v>
      </c>
    </row>
    <row r="22" spans="1:7" ht="25.5" x14ac:dyDescent="0.2">
      <c r="A22" s="54"/>
      <c r="B22" s="13" t="s">
        <v>121</v>
      </c>
      <c r="C22" s="14" t="s">
        <v>122</v>
      </c>
      <c r="D22" s="12" t="s">
        <v>75</v>
      </c>
      <c r="E22" s="13" t="s">
        <v>116</v>
      </c>
      <c r="F22" s="14" t="s">
        <v>84</v>
      </c>
      <c r="G22" s="15" t="s">
        <v>151</v>
      </c>
    </row>
    <row r="23" spans="1:7" ht="25.5" x14ac:dyDescent="0.2">
      <c r="A23" s="54"/>
      <c r="B23" s="13" t="s">
        <v>123</v>
      </c>
      <c r="C23" s="14" t="s">
        <v>124</v>
      </c>
      <c r="D23" s="12" t="s">
        <v>75</v>
      </c>
      <c r="E23" s="13" t="s">
        <v>116</v>
      </c>
      <c r="F23" s="14" t="s">
        <v>84</v>
      </c>
      <c r="G23" s="15" t="s">
        <v>152</v>
      </c>
    </row>
    <row r="24" spans="1:7" ht="25.5" x14ac:dyDescent="0.2">
      <c r="A24" s="54"/>
      <c r="B24" s="13" t="s">
        <v>125</v>
      </c>
      <c r="C24" s="14" t="s">
        <v>126</v>
      </c>
      <c r="D24" s="12" t="s">
        <v>75</v>
      </c>
      <c r="E24" s="13" t="s">
        <v>116</v>
      </c>
      <c r="F24" s="14" t="s">
        <v>84</v>
      </c>
      <c r="G24" s="15" t="s">
        <v>153</v>
      </c>
    </row>
    <row r="25" spans="1:7" ht="25.5" x14ac:dyDescent="0.2">
      <c r="A25" s="54"/>
      <c r="B25" s="13" t="s">
        <v>127</v>
      </c>
      <c r="C25" s="14" t="s">
        <v>128</v>
      </c>
      <c r="D25" s="12" t="s">
        <v>75</v>
      </c>
      <c r="E25" s="13" t="s">
        <v>116</v>
      </c>
      <c r="F25" s="14" t="s">
        <v>84</v>
      </c>
      <c r="G25" s="15" t="s">
        <v>154</v>
      </c>
    </row>
    <row r="26" spans="1:7" ht="25.5" x14ac:dyDescent="0.2">
      <c r="A26" s="54"/>
      <c r="B26" s="13" t="s">
        <v>129</v>
      </c>
      <c r="C26" s="14" t="s">
        <v>130</v>
      </c>
      <c r="D26" s="12" t="s">
        <v>75</v>
      </c>
      <c r="E26" s="13" t="s">
        <v>116</v>
      </c>
      <c r="F26" s="14" t="s">
        <v>84</v>
      </c>
      <c r="G26" s="15" t="s">
        <v>155</v>
      </c>
    </row>
    <row r="27" spans="1:7" ht="25.5" x14ac:dyDescent="0.2">
      <c r="A27" s="54"/>
      <c r="B27" s="13" t="s">
        <v>108</v>
      </c>
      <c r="C27" s="14" t="s">
        <v>131</v>
      </c>
      <c r="D27" s="12" t="s">
        <v>75</v>
      </c>
      <c r="E27" s="13" t="s">
        <v>116</v>
      </c>
      <c r="F27" s="14" t="s">
        <v>84</v>
      </c>
      <c r="G27" s="15" t="s">
        <v>156</v>
      </c>
    </row>
    <row r="28" spans="1:7" ht="25.5" x14ac:dyDescent="0.2">
      <c r="A28" s="54"/>
      <c r="B28" s="13" t="s">
        <v>104</v>
      </c>
      <c r="C28" s="14" t="s">
        <v>132</v>
      </c>
      <c r="D28" s="12" t="s">
        <v>75</v>
      </c>
      <c r="E28" s="13" t="s">
        <v>116</v>
      </c>
      <c r="F28" s="14" t="s">
        <v>84</v>
      </c>
      <c r="G28" s="15" t="s">
        <v>145</v>
      </c>
    </row>
    <row r="29" spans="1:7" ht="25.5" x14ac:dyDescent="0.2">
      <c r="A29" s="54"/>
      <c r="B29" s="13" t="s">
        <v>159</v>
      </c>
      <c r="C29" s="14" t="s">
        <v>163</v>
      </c>
      <c r="D29" s="14" t="s">
        <v>75</v>
      </c>
      <c r="E29" s="13" t="s">
        <v>116</v>
      </c>
      <c r="F29" s="14" t="s">
        <v>162</v>
      </c>
      <c r="G29" s="13" t="s">
        <v>164</v>
      </c>
    </row>
    <row r="30" spans="1:7" ht="25.5" x14ac:dyDescent="0.2">
      <c r="A30" s="54"/>
      <c r="B30" s="13" t="s">
        <v>133</v>
      </c>
      <c r="C30" s="14" t="s">
        <v>134</v>
      </c>
      <c r="D30" s="12" t="s">
        <v>75</v>
      </c>
      <c r="E30" s="13" t="s">
        <v>116</v>
      </c>
      <c r="F30" s="14" t="s">
        <v>84</v>
      </c>
      <c r="G30" s="15" t="s">
        <v>157</v>
      </c>
    </row>
    <row r="31" spans="1:7" ht="27" customHeight="1" x14ac:dyDescent="0.2">
      <c r="A31" s="17"/>
    </row>
    <row r="32" spans="1:7" ht="27" customHeight="1" x14ac:dyDescent="0.2">
      <c r="A32" s="17"/>
    </row>
    <row r="33" spans="1:1" ht="27" customHeight="1" x14ac:dyDescent="0.2">
      <c r="A33" s="17"/>
    </row>
    <row r="34" spans="1:1" ht="27" customHeight="1" x14ac:dyDescent="0.2">
      <c r="A34" s="17"/>
    </row>
    <row r="35" spans="1:1" ht="27" customHeight="1" x14ac:dyDescent="0.2">
      <c r="A35" s="17"/>
    </row>
    <row r="36" spans="1:1" ht="27" customHeight="1" x14ac:dyDescent="0.2">
      <c r="A36" s="17"/>
    </row>
  </sheetData>
  <mergeCells count="4">
    <mergeCell ref="A3:A10"/>
    <mergeCell ref="A11:A18"/>
    <mergeCell ref="A19:A30"/>
    <mergeCell ref="A1:G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U156"/>
  <sheetViews>
    <sheetView tabSelected="1" topLeftCell="N37" zoomScale="70" zoomScaleNormal="70" workbookViewId="0">
      <selection activeCell="Q47" sqref="Q47:Q49"/>
    </sheetView>
  </sheetViews>
  <sheetFormatPr baseColWidth="10" defaultRowHeight="15" x14ac:dyDescent="0.25"/>
  <cols>
    <col min="1" max="1" width="11.140625" customWidth="1"/>
    <col min="2" max="2" width="14.28515625" customWidth="1"/>
    <col min="3" max="3" width="28.7109375" style="10" customWidth="1"/>
    <col min="4" max="4" width="7.85546875" style="18" bestFit="1" customWidth="1"/>
    <col min="5" max="5" width="20.5703125" bestFit="1" customWidth="1"/>
    <col min="6" max="6" width="9.140625" bestFit="1" customWidth="1"/>
    <col min="7" max="7" width="64.42578125" bestFit="1" customWidth="1"/>
    <col min="8" max="8" width="10.28515625" bestFit="1" customWidth="1"/>
    <col min="9" max="9" width="76.7109375" bestFit="1" customWidth="1"/>
    <col min="10" max="10" width="12.7109375" customWidth="1"/>
    <col min="11" max="11" width="140.140625" bestFit="1" customWidth="1"/>
    <col min="12" max="12" width="34.85546875" bestFit="1" customWidth="1"/>
    <col min="13" max="13" width="39.28515625" style="20" bestFit="1" customWidth="1"/>
    <col min="14" max="14" width="40.42578125" style="20" bestFit="1" customWidth="1"/>
    <col min="15" max="15" width="12.85546875" bestFit="1" customWidth="1"/>
    <col min="16" max="16" width="60.85546875" bestFit="1" customWidth="1"/>
    <col min="17" max="17" width="38.7109375" style="35" customWidth="1"/>
    <col min="18" max="18" width="37.7109375" style="35" customWidth="1"/>
    <col min="19" max="19" width="36.140625" style="35" customWidth="1"/>
    <col min="20" max="20" width="12.85546875" customWidth="1"/>
    <col min="21" max="21" width="13.42578125" customWidth="1"/>
  </cols>
  <sheetData>
    <row r="1" spans="1:21" x14ac:dyDescent="0.25">
      <c r="A1" s="68" t="s">
        <v>171</v>
      </c>
      <c r="B1" s="69"/>
      <c r="C1" s="69"/>
      <c r="D1" s="69"/>
      <c r="E1" s="69"/>
      <c r="F1" s="69"/>
      <c r="G1" s="69"/>
      <c r="H1" s="69"/>
      <c r="I1" s="69"/>
      <c r="J1" s="69"/>
      <c r="K1" s="69"/>
      <c r="L1" s="69"/>
      <c r="M1" s="69"/>
      <c r="N1" s="69"/>
      <c r="O1" s="69"/>
      <c r="P1" s="69"/>
      <c r="Q1" s="34"/>
      <c r="R1" s="34"/>
      <c r="S1" s="34"/>
      <c r="T1" s="24"/>
      <c r="U1" s="24"/>
    </row>
    <row r="2" spans="1:21" ht="25.5" x14ac:dyDescent="0.25">
      <c r="A2" s="30" t="s">
        <v>72</v>
      </c>
      <c r="B2" s="30" t="s">
        <v>73</v>
      </c>
      <c r="C2" s="31" t="s">
        <v>74</v>
      </c>
      <c r="D2" s="30" t="s">
        <v>75</v>
      </c>
      <c r="E2" s="30" t="s">
        <v>76</v>
      </c>
      <c r="F2" s="29" t="s">
        <v>84</v>
      </c>
      <c r="G2" s="30" t="s">
        <v>77</v>
      </c>
      <c r="H2" s="29" t="s">
        <v>165</v>
      </c>
      <c r="I2" s="30" t="s">
        <v>166</v>
      </c>
      <c r="J2" s="30" t="s">
        <v>167</v>
      </c>
      <c r="K2" s="30" t="s">
        <v>168</v>
      </c>
      <c r="L2" s="30" t="s">
        <v>621</v>
      </c>
      <c r="M2" s="30" t="s">
        <v>622</v>
      </c>
      <c r="N2" s="30" t="s">
        <v>620</v>
      </c>
      <c r="O2" s="30" t="s">
        <v>169</v>
      </c>
      <c r="P2" s="30" t="s">
        <v>170</v>
      </c>
      <c r="Q2" s="32" t="s">
        <v>878</v>
      </c>
      <c r="R2" s="32" t="s">
        <v>879</v>
      </c>
      <c r="S2" s="32" t="s">
        <v>880</v>
      </c>
      <c r="T2" s="24"/>
      <c r="U2" s="24"/>
    </row>
    <row r="3" spans="1:21" ht="25.5" customHeight="1" x14ac:dyDescent="0.25">
      <c r="A3" s="66" t="s">
        <v>25</v>
      </c>
      <c r="B3" s="66" t="s">
        <v>596</v>
      </c>
      <c r="C3" s="70" t="s">
        <v>179</v>
      </c>
      <c r="D3" s="60" t="s">
        <v>75</v>
      </c>
      <c r="E3" s="60" t="s">
        <v>174</v>
      </c>
      <c r="F3" s="63" t="s">
        <v>178</v>
      </c>
      <c r="G3" s="60" t="s">
        <v>237</v>
      </c>
      <c r="H3" s="66" t="s">
        <v>188</v>
      </c>
      <c r="I3" s="60" t="s">
        <v>189</v>
      </c>
      <c r="J3" s="59" t="s">
        <v>281</v>
      </c>
      <c r="K3" s="61" t="str">
        <f>+CONCATENATE(D3," ",E3," ",F3," ",G3," ",H3," ",I3)</f>
        <v>Yo como cliente necesito cotizar el envío de mi carga por transporte marítimo para poder obtener una cotización para el envío de mi carga por vía marítima.</v>
      </c>
      <c r="L3" s="58" t="s">
        <v>682</v>
      </c>
      <c r="M3" s="58" t="s">
        <v>623</v>
      </c>
      <c r="N3" s="71" t="s">
        <v>624</v>
      </c>
      <c r="O3" s="25" t="s">
        <v>443</v>
      </c>
      <c r="P3" s="33" t="s">
        <v>471</v>
      </c>
      <c r="Q3" s="58" t="s">
        <v>782</v>
      </c>
      <c r="R3" s="58" t="s">
        <v>783</v>
      </c>
      <c r="S3" s="58" t="s">
        <v>784</v>
      </c>
      <c r="T3" s="24"/>
      <c r="U3" s="24"/>
    </row>
    <row r="4" spans="1:21" ht="25.5" x14ac:dyDescent="0.25">
      <c r="A4" s="66"/>
      <c r="B4" s="66"/>
      <c r="C4" s="70"/>
      <c r="D4" s="60"/>
      <c r="E4" s="60"/>
      <c r="F4" s="63"/>
      <c r="G4" s="60"/>
      <c r="H4" s="66"/>
      <c r="I4" s="60"/>
      <c r="J4" s="59"/>
      <c r="K4" s="61"/>
      <c r="L4" s="58"/>
      <c r="M4" s="58"/>
      <c r="N4" s="71"/>
      <c r="O4" s="25" t="s">
        <v>444</v>
      </c>
      <c r="P4" s="33" t="s">
        <v>472</v>
      </c>
      <c r="Q4" s="58"/>
      <c r="R4" s="58"/>
      <c r="S4" s="58"/>
      <c r="T4" s="24"/>
      <c r="U4" s="24"/>
    </row>
    <row r="5" spans="1:21" ht="25.5" x14ac:dyDescent="0.25">
      <c r="A5" s="66"/>
      <c r="B5" s="66"/>
      <c r="C5" s="70"/>
      <c r="D5" s="60"/>
      <c r="E5" s="60"/>
      <c r="F5" s="63"/>
      <c r="G5" s="60"/>
      <c r="H5" s="66"/>
      <c r="I5" s="60"/>
      <c r="J5" s="59"/>
      <c r="K5" s="61"/>
      <c r="L5" s="58"/>
      <c r="M5" s="58"/>
      <c r="N5" s="71"/>
      <c r="O5" s="25" t="s">
        <v>445</v>
      </c>
      <c r="P5" s="33" t="s">
        <v>334</v>
      </c>
      <c r="Q5" s="58"/>
      <c r="R5" s="58"/>
      <c r="S5" s="58"/>
      <c r="T5" s="24"/>
      <c r="U5" s="24"/>
    </row>
    <row r="6" spans="1:21" ht="25.5" x14ac:dyDescent="0.25">
      <c r="A6" s="66"/>
      <c r="B6" s="66"/>
      <c r="C6" s="70"/>
      <c r="D6" s="60" t="s">
        <v>75</v>
      </c>
      <c r="E6" s="60" t="s">
        <v>174</v>
      </c>
      <c r="F6" s="63" t="s">
        <v>178</v>
      </c>
      <c r="G6" s="60" t="s">
        <v>238</v>
      </c>
      <c r="H6" s="66" t="s">
        <v>188</v>
      </c>
      <c r="I6" s="60" t="s">
        <v>190</v>
      </c>
      <c r="J6" s="59" t="s">
        <v>282</v>
      </c>
      <c r="K6" s="61" t="str">
        <f t="shared" ref="K6:K40" si="0">+CONCATENATE(D6," ",E6," ",F6," ",G6," ",H6," ",I6)</f>
        <v>Yo como cliente necesito cotizar el envío de mi carga por transporte aéreo para poder obtener una cotización para el envío de mi carga por vía aérea.</v>
      </c>
      <c r="L6" s="58" t="s">
        <v>682</v>
      </c>
      <c r="M6" s="58" t="s">
        <v>623</v>
      </c>
      <c r="N6" s="71" t="s">
        <v>624</v>
      </c>
      <c r="O6" s="25" t="s">
        <v>446</v>
      </c>
      <c r="P6" s="33" t="s">
        <v>473</v>
      </c>
      <c r="Q6" s="58" t="s">
        <v>782</v>
      </c>
      <c r="R6" s="58" t="s">
        <v>783</v>
      </c>
      <c r="S6" s="58" t="s">
        <v>784</v>
      </c>
      <c r="T6" s="24"/>
      <c r="U6" s="24"/>
    </row>
    <row r="7" spans="1:21" ht="25.5" x14ac:dyDescent="0.25">
      <c r="A7" s="66"/>
      <c r="B7" s="66"/>
      <c r="C7" s="70"/>
      <c r="D7" s="60"/>
      <c r="E7" s="60"/>
      <c r="F7" s="63"/>
      <c r="G7" s="60"/>
      <c r="H7" s="66"/>
      <c r="I7" s="60"/>
      <c r="J7" s="59"/>
      <c r="K7" s="61"/>
      <c r="L7" s="58"/>
      <c r="M7" s="58"/>
      <c r="N7" s="71"/>
      <c r="O7" s="25" t="s">
        <v>447</v>
      </c>
      <c r="P7" s="33" t="s">
        <v>472</v>
      </c>
      <c r="Q7" s="58"/>
      <c r="R7" s="58"/>
      <c r="S7" s="58"/>
      <c r="T7" s="24"/>
      <c r="U7" s="24"/>
    </row>
    <row r="8" spans="1:21" ht="25.5" x14ac:dyDescent="0.25">
      <c r="A8" s="66"/>
      <c r="B8" s="66"/>
      <c r="C8" s="70"/>
      <c r="D8" s="60"/>
      <c r="E8" s="60"/>
      <c r="F8" s="63"/>
      <c r="G8" s="60"/>
      <c r="H8" s="66"/>
      <c r="I8" s="60"/>
      <c r="J8" s="59"/>
      <c r="K8" s="61"/>
      <c r="L8" s="58"/>
      <c r="M8" s="58"/>
      <c r="N8" s="71"/>
      <c r="O8" s="25" t="s">
        <v>448</v>
      </c>
      <c r="P8" s="33" t="s">
        <v>334</v>
      </c>
      <c r="Q8" s="58"/>
      <c r="R8" s="58"/>
      <c r="S8" s="58"/>
      <c r="T8" s="24"/>
      <c r="U8" s="24"/>
    </row>
    <row r="9" spans="1:21" ht="25.5" customHeight="1" x14ac:dyDescent="0.25">
      <c r="A9" s="66"/>
      <c r="B9" s="66"/>
      <c r="C9" s="70"/>
      <c r="D9" s="60" t="s">
        <v>75</v>
      </c>
      <c r="E9" s="60" t="s">
        <v>174</v>
      </c>
      <c r="F9" s="63" t="s">
        <v>178</v>
      </c>
      <c r="G9" s="60" t="s">
        <v>252</v>
      </c>
      <c r="H9" s="66" t="s">
        <v>188</v>
      </c>
      <c r="I9" s="60" t="s">
        <v>191</v>
      </c>
      <c r="J9" s="59" t="s">
        <v>283</v>
      </c>
      <c r="K9" s="61" t="str">
        <f t="shared" si="0"/>
        <v>Yo como cliente necesito reiniciar el cálculo de cotización del envío de una carga para poder corregir información ingresada o explorar diferentes opciones de envío sin tener que empezar desde cero.</v>
      </c>
      <c r="L9" s="58" t="s">
        <v>682</v>
      </c>
      <c r="M9" s="60" t="s">
        <v>623</v>
      </c>
      <c r="N9" s="60" t="s">
        <v>619</v>
      </c>
      <c r="O9" s="25" t="s">
        <v>449</v>
      </c>
      <c r="P9" s="33" t="s">
        <v>474</v>
      </c>
      <c r="Q9" s="58" t="s">
        <v>782</v>
      </c>
      <c r="R9" s="58" t="s">
        <v>783</v>
      </c>
      <c r="S9" s="58" t="s">
        <v>785</v>
      </c>
      <c r="T9" s="24"/>
      <c r="U9" s="24"/>
    </row>
    <row r="10" spans="1:21" ht="38.25" x14ac:dyDescent="0.25">
      <c r="A10" s="66"/>
      <c r="B10" s="66"/>
      <c r="C10" s="70"/>
      <c r="D10" s="60"/>
      <c r="E10" s="60"/>
      <c r="F10" s="63"/>
      <c r="G10" s="60"/>
      <c r="H10" s="66"/>
      <c r="I10" s="60"/>
      <c r="J10" s="59"/>
      <c r="K10" s="61"/>
      <c r="L10" s="58"/>
      <c r="M10" s="60"/>
      <c r="N10" s="60"/>
      <c r="O10" s="25" t="s">
        <v>450</v>
      </c>
      <c r="P10" s="33" t="s">
        <v>385</v>
      </c>
      <c r="Q10" s="58"/>
      <c r="R10" s="58"/>
      <c r="S10" s="58"/>
      <c r="T10" s="24"/>
      <c r="U10" s="24"/>
    </row>
    <row r="11" spans="1:21" ht="25.5" customHeight="1" x14ac:dyDescent="0.25">
      <c r="A11" s="66"/>
      <c r="B11" s="67" t="s">
        <v>82</v>
      </c>
      <c r="C11" s="65" t="s">
        <v>83</v>
      </c>
      <c r="D11" s="60" t="s">
        <v>75</v>
      </c>
      <c r="E11" s="60" t="s">
        <v>174</v>
      </c>
      <c r="F11" s="63" t="s">
        <v>178</v>
      </c>
      <c r="G11" s="60" t="s">
        <v>253</v>
      </c>
      <c r="H11" s="66" t="s">
        <v>188</v>
      </c>
      <c r="I11" s="60" t="s">
        <v>376</v>
      </c>
      <c r="J11" s="59" t="s">
        <v>284</v>
      </c>
      <c r="K11" s="61" t="str">
        <f t="shared" si="0"/>
        <v>Yo como cliente necesito ver mi historial de cargas para poder tener un registro de mis envíos anteriores para seguimiento; referencia o futuras consultas.</v>
      </c>
      <c r="L11" s="60" t="s">
        <v>683</v>
      </c>
      <c r="M11" s="60" t="s">
        <v>625</v>
      </c>
      <c r="N11" s="60" t="s">
        <v>626</v>
      </c>
      <c r="O11" s="25" t="s">
        <v>451</v>
      </c>
      <c r="P11" s="33" t="s">
        <v>335</v>
      </c>
      <c r="Q11" s="58" t="s">
        <v>786</v>
      </c>
      <c r="R11" s="58" t="s">
        <v>787</v>
      </c>
      <c r="S11" s="58" t="s">
        <v>788</v>
      </c>
      <c r="T11" s="24"/>
      <c r="U11" s="24"/>
    </row>
    <row r="12" spans="1:21" ht="25.5" x14ac:dyDescent="0.25">
      <c r="A12" s="66"/>
      <c r="B12" s="67"/>
      <c r="C12" s="65"/>
      <c r="D12" s="60"/>
      <c r="E12" s="60"/>
      <c r="F12" s="63"/>
      <c r="G12" s="60"/>
      <c r="H12" s="66"/>
      <c r="I12" s="60"/>
      <c r="J12" s="59"/>
      <c r="K12" s="61"/>
      <c r="L12" s="60"/>
      <c r="M12" s="60"/>
      <c r="N12" s="60"/>
      <c r="O12" s="25" t="s">
        <v>452</v>
      </c>
      <c r="P12" s="33" t="s">
        <v>386</v>
      </c>
      <c r="Q12" s="58"/>
      <c r="R12" s="58"/>
      <c r="S12" s="58"/>
      <c r="T12" s="24"/>
      <c r="U12" s="24"/>
    </row>
    <row r="13" spans="1:21" ht="25.5" x14ac:dyDescent="0.25">
      <c r="A13" s="66"/>
      <c r="B13" s="67"/>
      <c r="C13" s="65"/>
      <c r="D13" s="60"/>
      <c r="E13" s="60"/>
      <c r="F13" s="63"/>
      <c r="G13" s="60"/>
      <c r="H13" s="66"/>
      <c r="I13" s="60"/>
      <c r="J13" s="59"/>
      <c r="K13" s="61"/>
      <c r="L13" s="60"/>
      <c r="M13" s="60"/>
      <c r="N13" s="60"/>
      <c r="O13" s="25" t="s">
        <v>453</v>
      </c>
      <c r="P13" s="33" t="s">
        <v>475</v>
      </c>
      <c r="Q13" s="58"/>
      <c r="R13" s="58"/>
      <c r="S13" s="58"/>
      <c r="T13" s="24"/>
      <c r="U13" s="24"/>
    </row>
    <row r="14" spans="1:21" ht="25.5" x14ac:dyDescent="0.25">
      <c r="A14" s="66"/>
      <c r="B14" s="67"/>
      <c r="C14" s="65"/>
      <c r="D14" s="60"/>
      <c r="E14" s="60"/>
      <c r="F14" s="63"/>
      <c r="G14" s="60"/>
      <c r="H14" s="66"/>
      <c r="I14" s="60"/>
      <c r="J14" s="59"/>
      <c r="K14" s="61"/>
      <c r="L14" s="60"/>
      <c r="M14" s="60"/>
      <c r="N14" s="60"/>
      <c r="O14" s="25" t="s">
        <v>454</v>
      </c>
      <c r="P14" s="33" t="s">
        <v>336</v>
      </c>
      <c r="Q14" s="58"/>
      <c r="R14" s="58"/>
      <c r="S14" s="58"/>
      <c r="T14" s="24"/>
      <c r="U14" s="24"/>
    </row>
    <row r="15" spans="1:21" ht="25.5" x14ac:dyDescent="0.25">
      <c r="A15" s="66"/>
      <c r="B15" s="67"/>
      <c r="C15" s="65"/>
      <c r="D15" s="60" t="s">
        <v>75</v>
      </c>
      <c r="E15" s="60" t="s">
        <v>174</v>
      </c>
      <c r="F15" s="63" t="s">
        <v>178</v>
      </c>
      <c r="G15" s="60" t="s">
        <v>254</v>
      </c>
      <c r="H15" s="63" t="s">
        <v>188</v>
      </c>
      <c r="I15" s="60" t="s">
        <v>192</v>
      </c>
      <c r="J15" s="59" t="s">
        <v>285</v>
      </c>
      <c r="K15" s="61" t="str">
        <f t="shared" si="0"/>
        <v>Yo como cliente necesito ver el estado de mis cargas para poder mantenerme informado sobre el progreso y ubicación de mis envíos actuales.</v>
      </c>
      <c r="L15" s="60" t="s">
        <v>683</v>
      </c>
      <c r="M15" s="60" t="s">
        <v>627</v>
      </c>
      <c r="N15" s="60" t="s">
        <v>628</v>
      </c>
      <c r="O15" s="25" t="s">
        <v>455</v>
      </c>
      <c r="P15" s="33" t="s">
        <v>476</v>
      </c>
      <c r="Q15" s="58" t="s">
        <v>786</v>
      </c>
      <c r="R15" s="58" t="s">
        <v>789</v>
      </c>
      <c r="S15" s="58" t="s">
        <v>790</v>
      </c>
      <c r="T15" s="24"/>
      <c r="U15" s="24"/>
    </row>
    <row r="16" spans="1:21" ht="25.5" x14ac:dyDescent="0.25">
      <c r="A16" s="66"/>
      <c r="B16" s="67"/>
      <c r="C16" s="65"/>
      <c r="D16" s="60"/>
      <c r="E16" s="60"/>
      <c r="F16" s="63"/>
      <c r="G16" s="60"/>
      <c r="H16" s="63"/>
      <c r="I16" s="60"/>
      <c r="J16" s="59"/>
      <c r="K16" s="61"/>
      <c r="L16" s="60"/>
      <c r="M16" s="60"/>
      <c r="N16" s="60"/>
      <c r="O16" s="25" t="s">
        <v>456</v>
      </c>
      <c r="P16" s="33" t="s">
        <v>477</v>
      </c>
      <c r="Q16" s="58"/>
      <c r="R16" s="58"/>
      <c r="S16" s="58"/>
      <c r="T16" s="24"/>
      <c r="U16" s="24"/>
    </row>
    <row r="17" spans="1:21" ht="38.25" x14ac:dyDescent="0.25">
      <c r="A17" s="66"/>
      <c r="B17" s="67"/>
      <c r="C17" s="65"/>
      <c r="D17" s="60"/>
      <c r="E17" s="60"/>
      <c r="F17" s="63"/>
      <c r="G17" s="60"/>
      <c r="H17" s="63"/>
      <c r="I17" s="60"/>
      <c r="J17" s="59"/>
      <c r="K17" s="61"/>
      <c r="L17" s="60"/>
      <c r="M17" s="60"/>
      <c r="N17" s="60"/>
      <c r="O17" s="25" t="s">
        <v>457</v>
      </c>
      <c r="P17" s="33" t="s">
        <v>387</v>
      </c>
      <c r="Q17" s="58"/>
      <c r="R17" s="58"/>
      <c r="S17" s="58"/>
      <c r="T17" s="24"/>
      <c r="U17" s="24"/>
    </row>
    <row r="18" spans="1:21" x14ac:dyDescent="0.25">
      <c r="A18" s="66"/>
      <c r="B18" s="67"/>
      <c r="C18" s="65"/>
      <c r="D18" s="60"/>
      <c r="E18" s="60"/>
      <c r="F18" s="63"/>
      <c r="G18" s="60"/>
      <c r="H18" s="63"/>
      <c r="I18" s="60"/>
      <c r="J18" s="59"/>
      <c r="K18" s="61"/>
      <c r="L18" s="60"/>
      <c r="M18" s="60"/>
      <c r="N18" s="60"/>
      <c r="O18" s="25" t="s">
        <v>458</v>
      </c>
      <c r="P18" s="33" t="s">
        <v>337</v>
      </c>
      <c r="Q18" s="58"/>
      <c r="R18" s="58"/>
      <c r="S18" s="58"/>
      <c r="T18" s="24"/>
      <c r="U18" s="24"/>
    </row>
    <row r="19" spans="1:21" ht="25.5" customHeight="1" x14ac:dyDescent="0.25">
      <c r="A19" s="66"/>
      <c r="B19" s="66" t="s">
        <v>599</v>
      </c>
      <c r="C19" s="65" t="s">
        <v>172</v>
      </c>
      <c r="D19" s="60" t="s">
        <v>75</v>
      </c>
      <c r="E19" s="60" t="s">
        <v>174</v>
      </c>
      <c r="F19" s="63" t="s">
        <v>178</v>
      </c>
      <c r="G19" s="60" t="s">
        <v>255</v>
      </c>
      <c r="H19" s="63" t="s">
        <v>188</v>
      </c>
      <c r="I19" s="60" t="s">
        <v>279</v>
      </c>
      <c r="J19" s="59" t="s">
        <v>286</v>
      </c>
      <c r="K19" s="61" t="str">
        <f t="shared" si="0"/>
        <v>Yo como cliente necesito descargar un formato para el packing list para poder tener una plantilla estandarizada y proporcionar la información detallada de mi carga.</v>
      </c>
      <c r="L19" s="60" t="s">
        <v>686</v>
      </c>
      <c r="M19" s="60" t="s">
        <v>629</v>
      </c>
      <c r="N19" s="60" t="s">
        <v>630</v>
      </c>
      <c r="O19" s="25" t="s">
        <v>459</v>
      </c>
      <c r="P19" s="33" t="s">
        <v>478</v>
      </c>
      <c r="Q19" s="58" t="s">
        <v>791</v>
      </c>
      <c r="R19" s="58" t="s">
        <v>792</v>
      </c>
      <c r="S19" s="58" t="s">
        <v>793</v>
      </c>
      <c r="T19" s="24"/>
      <c r="U19" s="24"/>
    </row>
    <row r="20" spans="1:21" ht="25.5" x14ac:dyDescent="0.25">
      <c r="A20" s="66"/>
      <c r="B20" s="66"/>
      <c r="C20" s="65"/>
      <c r="D20" s="60"/>
      <c r="E20" s="60"/>
      <c r="F20" s="63"/>
      <c r="G20" s="60"/>
      <c r="H20" s="63"/>
      <c r="I20" s="60"/>
      <c r="J20" s="59"/>
      <c r="K20" s="61"/>
      <c r="L20" s="60"/>
      <c r="M20" s="60"/>
      <c r="N20" s="60"/>
      <c r="O20" s="25" t="s">
        <v>460</v>
      </c>
      <c r="P20" s="33" t="s">
        <v>479</v>
      </c>
      <c r="Q20" s="58"/>
      <c r="R20" s="58"/>
      <c r="S20" s="58"/>
      <c r="T20" s="24"/>
      <c r="U20" s="24"/>
    </row>
    <row r="21" spans="1:21" ht="25.5" x14ac:dyDescent="0.25">
      <c r="A21" s="66"/>
      <c r="B21" s="66"/>
      <c r="C21" s="65"/>
      <c r="D21" s="60"/>
      <c r="E21" s="60"/>
      <c r="F21" s="63"/>
      <c r="G21" s="60"/>
      <c r="H21" s="63"/>
      <c r="I21" s="60"/>
      <c r="J21" s="59"/>
      <c r="K21" s="61"/>
      <c r="L21" s="60"/>
      <c r="M21" s="60"/>
      <c r="N21" s="60"/>
      <c r="O21" s="25" t="s">
        <v>461</v>
      </c>
      <c r="P21" s="33" t="s">
        <v>388</v>
      </c>
      <c r="Q21" s="58"/>
      <c r="R21" s="58"/>
      <c r="S21" s="58"/>
      <c r="T21" s="24"/>
      <c r="U21" s="24"/>
    </row>
    <row r="22" spans="1:21" ht="25.5" x14ac:dyDescent="0.25">
      <c r="A22" s="66"/>
      <c r="B22" s="66"/>
      <c r="C22" s="65"/>
      <c r="D22" s="60" t="s">
        <v>75</v>
      </c>
      <c r="E22" s="60" t="s">
        <v>174</v>
      </c>
      <c r="F22" s="63" t="s">
        <v>178</v>
      </c>
      <c r="G22" s="60" t="s">
        <v>256</v>
      </c>
      <c r="H22" s="63" t="s">
        <v>188</v>
      </c>
      <c r="I22" s="60" t="s">
        <v>193</v>
      </c>
      <c r="J22" s="59" t="s">
        <v>287</v>
      </c>
      <c r="K22" s="61" t="str">
        <f t="shared" si="0"/>
        <v>Yo como cliente necesito subir el packing list de mi carga para poder proporcionar la información detallada del contenido de mi envío al sistema.</v>
      </c>
      <c r="L22" s="60" t="s">
        <v>686</v>
      </c>
      <c r="M22" s="60" t="s">
        <v>631</v>
      </c>
      <c r="N22" s="60" t="s">
        <v>632</v>
      </c>
      <c r="O22" s="25" t="s">
        <v>462</v>
      </c>
      <c r="P22" s="33" t="s">
        <v>338</v>
      </c>
      <c r="Q22" s="58" t="s">
        <v>791</v>
      </c>
      <c r="R22" s="58" t="s">
        <v>794</v>
      </c>
      <c r="S22" s="58" t="s">
        <v>795</v>
      </c>
      <c r="T22" s="24"/>
      <c r="U22" s="24"/>
    </row>
    <row r="23" spans="1:21" x14ac:dyDescent="0.25">
      <c r="A23" s="66"/>
      <c r="B23" s="66"/>
      <c r="C23" s="65"/>
      <c r="D23" s="60"/>
      <c r="E23" s="60"/>
      <c r="F23" s="63"/>
      <c r="G23" s="60"/>
      <c r="H23" s="63"/>
      <c r="I23" s="60"/>
      <c r="J23" s="59"/>
      <c r="K23" s="61"/>
      <c r="L23" s="60"/>
      <c r="M23" s="60"/>
      <c r="N23" s="60"/>
      <c r="O23" s="25" t="s">
        <v>463</v>
      </c>
      <c r="P23" s="33" t="s">
        <v>480</v>
      </c>
      <c r="Q23" s="58"/>
      <c r="R23" s="58"/>
      <c r="S23" s="58"/>
      <c r="T23" s="24"/>
      <c r="U23" s="24"/>
    </row>
    <row r="24" spans="1:21" ht="25.5" x14ac:dyDescent="0.25">
      <c r="A24" s="66"/>
      <c r="B24" s="66"/>
      <c r="C24" s="65"/>
      <c r="D24" s="60"/>
      <c r="E24" s="60"/>
      <c r="F24" s="63"/>
      <c r="G24" s="60"/>
      <c r="H24" s="63"/>
      <c r="I24" s="60"/>
      <c r="J24" s="59"/>
      <c r="K24" s="61"/>
      <c r="L24" s="60"/>
      <c r="M24" s="60"/>
      <c r="N24" s="60"/>
      <c r="O24" s="25" t="s">
        <v>464</v>
      </c>
      <c r="P24" s="33" t="s">
        <v>389</v>
      </c>
      <c r="Q24" s="58"/>
      <c r="R24" s="58"/>
      <c r="S24" s="58"/>
      <c r="T24" s="24"/>
      <c r="U24" s="24"/>
    </row>
    <row r="25" spans="1:21" ht="25.5" x14ac:dyDescent="0.25">
      <c r="A25" s="66"/>
      <c r="B25" s="66"/>
      <c r="C25" s="65"/>
      <c r="D25" s="60" t="s">
        <v>75</v>
      </c>
      <c r="E25" s="60" t="s">
        <v>174</v>
      </c>
      <c r="F25" s="63" t="s">
        <v>178</v>
      </c>
      <c r="G25" s="60" t="s">
        <v>257</v>
      </c>
      <c r="H25" s="63" t="s">
        <v>188</v>
      </c>
      <c r="I25" s="60" t="s">
        <v>194</v>
      </c>
      <c r="J25" s="59" t="s">
        <v>288</v>
      </c>
      <c r="K25" s="61" t="str">
        <f t="shared" si="0"/>
        <v>Yo como cliente necesito visualizar el packing list que subí de mi carga para poder verificar que la información del packing list cargado sea correcta.</v>
      </c>
      <c r="L25" s="60" t="s">
        <v>686</v>
      </c>
      <c r="M25" s="60" t="s">
        <v>633</v>
      </c>
      <c r="N25" s="60" t="s">
        <v>634</v>
      </c>
      <c r="O25" s="25" t="s">
        <v>465</v>
      </c>
      <c r="P25" s="33" t="s">
        <v>481</v>
      </c>
      <c r="Q25" s="58" t="s">
        <v>791</v>
      </c>
      <c r="R25" s="58" t="s">
        <v>796</v>
      </c>
      <c r="S25" s="58" t="s">
        <v>797</v>
      </c>
      <c r="T25" s="24"/>
      <c r="U25" s="24"/>
    </row>
    <row r="26" spans="1:21" ht="25.5" x14ac:dyDescent="0.25">
      <c r="A26" s="66"/>
      <c r="B26" s="66"/>
      <c r="C26" s="65"/>
      <c r="D26" s="60"/>
      <c r="E26" s="60"/>
      <c r="F26" s="63"/>
      <c r="G26" s="60"/>
      <c r="H26" s="63"/>
      <c r="I26" s="60"/>
      <c r="J26" s="59"/>
      <c r="K26" s="61"/>
      <c r="L26" s="60"/>
      <c r="M26" s="60"/>
      <c r="N26" s="60"/>
      <c r="O26" s="25" t="s">
        <v>466</v>
      </c>
      <c r="P26" s="33" t="s">
        <v>618</v>
      </c>
      <c r="Q26" s="58"/>
      <c r="R26" s="58"/>
      <c r="S26" s="58"/>
      <c r="T26" s="24"/>
      <c r="U26" s="24"/>
    </row>
    <row r="27" spans="1:21" ht="25.5" x14ac:dyDescent="0.25">
      <c r="A27" s="66"/>
      <c r="B27" s="66"/>
      <c r="C27" s="65"/>
      <c r="D27" s="60" t="s">
        <v>75</v>
      </c>
      <c r="E27" s="60" t="s">
        <v>174</v>
      </c>
      <c r="F27" s="63" t="s">
        <v>178</v>
      </c>
      <c r="G27" s="60" t="s">
        <v>258</v>
      </c>
      <c r="H27" s="63" t="s">
        <v>188</v>
      </c>
      <c r="I27" s="60" t="s">
        <v>377</v>
      </c>
      <c r="J27" s="59" t="s">
        <v>289</v>
      </c>
      <c r="K27" s="61" t="str">
        <f t="shared" si="0"/>
        <v>Yo como cliente necesito añadir cajas individualmente al packing list para poder detallar el contenido de mi carga de manera precisa; incluso si no tengo un listado previo.</v>
      </c>
      <c r="L27" s="60" t="s">
        <v>686</v>
      </c>
      <c r="M27" s="60" t="s">
        <v>635</v>
      </c>
      <c r="N27" s="60" t="s">
        <v>636</v>
      </c>
      <c r="O27" s="25" t="s">
        <v>467</v>
      </c>
      <c r="P27" s="33" t="s">
        <v>390</v>
      </c>
      <c r="Q27" s="58" t="s">
        <v>791</v>
      </c>
      <c r="R27" s="58" t="s">
        <v>798</v>
      </c>
      <c r="S27" s="58"/>
      <c r="T27" s="24"/>
      <c r="U27" s="24"/>
    </row>
    <row r="28" spans="1:21" ht="25.5" x14ac:dyDescent="0.25">
      <c r="A28" s="66"/>
      <c r="B28" s="66"/>
      <c r="C28" s="65"/>
      <c r="D28" s="60"/>
      <c r="E28" s="60"/>
      <c r="F28" s="63"/>
      <c r="G28" s="60"/>
      <c r="H28" s="63"/>
      <c r="I28" s="60"/>
      <c r="J28" s="59"/>
      <c r="K28" s="61"/>
      <c r="L28" s="60"/>
      <c r="M28" s="60"/>
      <c r="N28" s="60"/>
      <c r="O28" s="25" t="s">
        <v>468</v>
      </c>
      <c r="P28" s="33" t="s">
        <v>391</v>
      </c>
      <c r="Q28" s="58"/>
      <c r="R28" s="58"/>
      <c r="S28" s="58"/>
      <c r="T28" s="24"/>
      <c r="U28" s="24"/>
    </row>
    <row r="29" spans="1:21" x14ac:dyDescent="0.25">
      <c r="A29" s="66"/>
      <c r="B29" s="66"/>
      <c r="C29" s="65"/>
      <c r="D29" s="60"/>
      <c r="E29" s="60"/>
      <c r="F29" s="63"/>
      <c r="G29" s="60"/>
      <c r="H29" s="63"/>
      <c r="I29" s="60"/>
      <c r="J29" s="59"/>
      <c r="K29" s="61"/>
      <c r="L29" s="60"/>
      <c r="M29" s="60"/>
      <c r="N29" s="60"/>
      <c r="O29" s="25" t="s">
        <v>469</v>
      </c>
      <c r="P29" s="33" t="s">
        <v>339</v>
      </c>
      <c r="Q29" s="58"/>
      <c r="R29" s="58"/>
      <c r="S29" s="58"/>
      <c r="T29" s="24"/>
      <c r="U29" s="24"/>
    </row>
    <row r="30" spans="1:21" x14ac:dyDescent="0.25">
      <c r="A30" s="66"/>
      <c r="B30" s="66"/>
      <c r="C30" s="65"/>
      <c r="D30" s="60"/>
      <c r="E30" s="60"/>
      <c r="F30" s="63"/>
      <c r="G30" s="60"/>
      <c r="H30" s="63"/>
      <c r="I30" s="60"/>
      <c r="J30" s="59"/>
      <c r="K30" s="61"/>
      <c r="L30" s="60"/>
      <c r="M30" s="60"/>
      <c r="N30" s="60"/>
      <c r="O30" s="25" t="s">
        <v>470</v>
      </c>
      <c r="P30" s="33" t="s">
        <v>340</v>
      </c>
      <c r="Q30" s="58"/>
      <c r="R30" s="58"/>
      <c r="S30" s="58"/>
      <c r="T30" s="24"/>
      <c r="U30" s="24"/>
    </row>
    <row r="31" spans="1:21" ht="25.5" x14ac:dyDescent="0.25">
      <c r="A31" s="66"/>
      <c r="B31" s="66"/>
      <c r="C31" s="65"/>
      <c r="D31" s="60" t="s">
        <v>75</v>
      </c>
      <c r="E31" s="60" t="s">
        <v>174</v>
      </c>
      <c r="F31" s="63" t="s">
        <v>178</v>
      </c>
      <c r="G31" s="60" t="s">
        <v>239</v>
      </c>
      <c r="H31" s="63" t="s">
        <v>188</v>
      </c>
      <c r="I31" s="60" t="s">
        <v>195</v>
      </c>
      <c r="J31" s="59" t="s">
        <v>290</v>
      </c>
      <c r="K31" s="61" t="str">
        <f t="shared" si="0"/>
        <v>Yo como cliente necesito confirmar que el packing list sea correcto a través de una notificación del sistema para poder tener la seguridad de que la información de mi carga ha sido registrada correctamente.</v>
      </c>
      <c r="L31" s="60" t="s">
        <v>686</v>
      </c>
      <c r="M31" s="60" t="s">
        <v>637</v>
      </c>
      <c r="N31" s="60" t="s">
        <v>638</v>
      </c>
      <c r="O31" s="25" t="s">
        <v>492</v>
      </c>
      <c r="P31" s="33" t="s">
        <v>392</v>
      </c>
      <c r="Q31" s="58" t="s">
        <v>791</v>
      </c>
      <c r="R31" s="58" t="s">
        <v>799</v>
      </c>
      <c r="S31" s="58" t="s">
        <v>800</v>
      </c>
      <c r="T31" s="24"/>
      <c r="U31" s="24"/>
    </row>
    <row r="32" spans="1:21" x14ac:dyDescent="0.25">
      <c r="A32" s="66"/>
      <c r="B32" s="66"/>
      <c r="C32" s="65"/>
      <c r="D32" s="60"/>
      <c r="E32" s="60"/>
      <c r="F32" s="63"/>
      <c r="G32" s="60"/>
      <c r="H32" s="63"/>
      <c r="I32" s="60"/>
      <c r="J32" s="59"/>
      <c r="K32" s="61"/>
      <c r="L32" s="60"/>
      <c r="M32" s="60"/>
      <c r="N32" s="60"/>
      <c r="O32" s="25" t="s">
        <v>493</v>
      </c>
      <c r="P32" s="33" t="s">
        <v>393</v>
      </c>
      <c r="Q32" s="58"/>
      <c r="R32" s="58"/>
      <c r="S32" s="58"/>
      <c r="T32" s="24"/>
      <c r="U32" s="24"/>
    </row>
    <row r="33" spans="1:21" ht="25.5" x14ac:dyDescent="0.25">
      <c r="A33" s="66"/>
      <c r="B33" s="66"/>
      <c r="C33" s="65"/>
      <c r="D33" s="60"/>
      <c r="E33" s="60"/>
      <c r="F33" s="63"/>
      <c r="G33" s="60"/>
      <c r="H33" s="63"/>
      <c r="I33" s="60"/>
      <c r="J33" s="59"/>
      <c r="K33" s="61"/>
      <c r="L33" s="60"/>
      <c r="M33" s="60"/>
      <c r="N33" s="60"/>
      <c r="O33" s="25" t="s">
        <v>494</v>
      </c>
      <c r="P33" s="33" t="s">
        <v>482</v>
      </c>
      <c r="Q33" s="58"/>
      <c r="R33" s="58"/>
      <c r="S33" s="58"/>
      <c r="T33" s="24"/>
      <c r="U33" s="24"/>
    </row>
    <row r="34" spans="1:21" ht="25.5" x14ac:dyDescent="0.25">
      <c r="A34" s="66"/>
      <c r="B34" s="66"/>
      <c r="C34" s="65" t="s">
        <v>180</v>
      </c>
      <c r="D34" s="60" t="s">
        <v>75</v>
      </c>
      <c r="E34" s="60" t="s">
        <v>174</v>
      </c>
      <c r="F34" s="63" t="s">
        <v>178</v>
      </c>
      <c r="G34" s="60" t="s">
        <v>259</v>
      </c>
      <c r="H34" s="63" t="s">
        <v>188</v>
      </c>
      <c r="I34" s="60" t="s">
        <v>196</v>
      </c>
      <c r="J34" s="59" t="s">
        <v>291</v>
      </c>
      <c r="K34" s="61" t="str">
        <f t="shared" si="0"/>
        <v>Yo como cliente necesito generar una etiqueta con QR y Shipping Mark para mi carga para poder identificar fácilmente mi carga y facilitar su manejo y seguimiento.</v>
      </c>
      <c r="L34" s="60" t="s">
        <v>687</v>
      </c>
      <c r="M34" s="60" t="s">
        <v>639</v>
      </c>
      <c r="N34" s="60" t="s">
        <v>640</v>
      </c>
      <c r="O34" s="25" t="s">
        <v>495</v>
      </c>
      <c r="P34" s="33" t="s">
        <v>483</v>
      </c>
      <c r="Q34" s="58" t="s">
        <v>801</v>
      </c>
      <c r="R34" s="58" t="s">
        <v>802</v>
      </c>
      <c r="S34" s="58" t="s">
        <v>803</v>
      </c>
      <c r="T34" s="24"/>
      <c r="U34" s="24"/>
    </row>
    <row r="35" spans="1:21" ht="25.5" x14ac:dyDescent="0.25">
      <c r="A35" s="66"/>
      <c r="B35" s="66"/>
      <c r="C35" s="65"/>
      <c r="D35" s="60"/>
      <c r="E35" s="60"/>
      <c r="F35" s="63"/>
      <c r="G35" s="60"/>
      <c r="H35" s="63"/>
      <c r="I35" s="60"/>
      <c r="J35" s="59"/>
      <c r="K35" s="61"/>
      <c r="L35" s="60"/>
      <c r="M35" s="60"/>
      <c r="N35" s="60"/>
      <c r="O35" s="25" t="s">
        <v>496</v>
      </c>
      <c r="P35" s="33" t="s">
        <v>484</v>
      </c>
      <c r="Q35" s="58"/>
      <c r="R35" s="58"/>
      <c r="S35" s="58"/>
      <c r="T35" s="24"/>
      <c r="U35" s="24"/>
    </row>
    <row r="36" spans="1:21" ht="62.25" customHeight="1" x14ac:dyDescent="0.25">
      <c r="A36" s="66"/>
      <c r="B36" s="66"/>
      <c r="C36" s="65"/>
      <c r="D36" s="60" t="s">
        <v>75</v>
      </c>
      <c r="E36" s="60" t="s">
        <v>174</v>
      </c>
      <c r="F36" s="63" t="s">
        <v>178</v>
      </c>
      <c r="G36" s="60" t="s">
        <v>260</v>
      </c>
      <c r="H36" s="63" t="s">
        <v>188</v>
      </c>
      <c r="I36" s="60" t="s">
        <v>197</v>
      </c>
      <c r="J36" s="59" t="s">
        <v>292</v>
      </c>
      <c r="K36" s="61" t="str">
        <f t="shared" si="0"/>
        <v>Yo como cliente necesito imprimir las etiquetas con QR y Shipping Mark de mi carga para poder adjuntar las etiquetas a mi carga para su correcta identificación y procesamiento.</v>
      </c>
      <c r="L36" s="60" t="s">
        <v>687</v>
      </c>
      <c r="M36" s="60" t="s">
        <v>641</v>
      </c>
      <c r="N36" s="60" t="s">
        <v>642</v>
      </c>
      <c r="O36" s="25" t="s">
        <v>497</v>
      </c>
      <c r="P36" s="33" t="s">
        <v>485</v>
      </c>
      <c r="Q36" s="58" t="s">
        <v>801</v>
      </c>
      <c r="R36" s="58" t="s">
        <v>804</v>
      </c>
      <c r="S36" s="58" t="s">
        <v>805</v>
      </c>
      <c r="T36" s="24"/>
      <c r="U36" s="24"/>
    </row>
    <row r="37" spans="1:21" ht="21.75" customHeight="1" x14ac:dyDescent="0.25">
      <c r="A37" s="66"/>
      <c r="B37" s="66"/>
      <c r="C37" s="65"/>
      <c r="D37" s="60"/>
      <c r="E37" s="60"/>
      <c r="F37" s="63"/>
      <c r="G37" s="60"/>
      <c r="H37" s="63"/>
      <c r="I37" s="60"/>
      <c r="J37" s="59"/>
      <c r="K37" s="61"/>
      <c r="L37" s="60"/>
      <c r="M37" s="60"/>
      <c r="N37" s="60"/>
      <c r="O37" s="25" t="s">
        <v>498</v>
      </c>
      <c r="P37" s="33" t="s">
        <v>486</v>
      </c>
      <c r="Q37" s="58"/>
      <c r="R37" s="58"/>
      <c r="S37" s="58"/>
      <c r="T37" s="24"/>
      <c r="U37" s="24"/>
    </row>
    <row r="38" spans="1:21" ht="25.5" customHeight="1" x14ac:dyDescent="0.25">
      <c r="A38" s="66" t="s">
        <v>588</v>
      </c>
      <c r="B38" s="66"/>
      <c r="C38" s="65" t="s">
        <v>181</v>
      </c>
      <c r="D38" s="60" t="s">
        <v>75</v>
      </c>
      <c r="E38" s="60" t="s">
        <v>175</v>
      </c>
      <c r="F38" s="63" t="s">
        <v>178</v>
      </c>
      <c r="G38" s="60" t="s">
        <v>198</v>
      </c>
      <c r="H38" s="63" t="s">
        <v>188</v>
      </c>
      <c r="I38" s="61" t="s">
        <v>240</v>
      </c>
      <c r="J38" s="59" t="s">
        <v>293</v>
      </c>
      <c r="K38" s="61" t="str">
        <f t="shared" si="0"/>
        <v>Yo como usuario necesito escanear los códigos QR de las cajas con la cámara de mi dispositivo para poder consultar la información de la carga.</v>
      </c>
      <c r="L38" s="60" t="s">
        <v>688</v>
      </c>
      <c r="M38" s="60" t="s">
        <v>644</v>
      </c>
      <c r="N38" s="60" t="s">
        <v>645</v>
      </c>
      <c r="O38" s="25" t="s">
        <v>499</v>
      </c>
      <c r="P38" s="33" t="s">
        <v>341</v>
      </c>
      <c r="Q38" s="58" t="s">
        <v>806</v>
      </c>
      <c r="R38" s="58" t="s">
        <v>807</v>
      </c>
      <c r="S38" s="58" t="s">
        <v>808</v>
      </c>
      <c r="T38" s="24"/>
      <c r="U38" s="24"/>
    </row>
    <row r="39" spans="1:21" ht="25.5" x14ac:dyDescent="0.25">
      <c r="A39" s="66"/>
      <c r="B39" s="66"/>
      <c r="C39" s="65"/>
      <c r="D39" s="60"/>
      <c r="E39" s="60"/>
      <c r="F39" s="63"/>
      <c r="G39" s="60"/>
      <c r="H39" s="63"/>
      <c r="I39" s="61"/>
      <c r="J39" s="59"/>
      <c r="K39" s="61"/>
      <c r="L39" s="60"/>
      <c r="M39" s="60"/>
      <c r="N39" s="60"/>
      <c r="O39" s="25" t="s">
        <v>500</v>
      </c>
      <c r="P39" s="33" t="s">
        <v>643</v>
      </c>
      <c r="Q39" s="58"/>
      <c r="R39" s="58"/>
      <c r="S39" s="58"/>
      <c r="T39" s="24"/>
      <c r="U39" s="24"/>
    </row>
    <row r="40" spans="1:21" ht="24.75" customHeight="1" x14ac:dyDescent="0.25">
      <c r="A40" s="66"/>
      <c r="B40" s="66" t="s">
        <v>600</v>
      </c>
      <c r="C40" s="65" t="s">
        <v>598</v>
      </c>
      <c r="D40" s="60" t="s">
        <v>75</v>
      </c>
      <c r="E40" s="60" t="s">
        <v>175</v>
      </c>
      <c r="F40" s="63" t="s">
        <v>178</v>
      </c>
      <c r="G40" s="60" t="s">
        <v>684</v>
      </c>
      <c r="H40" s="63" t="s">
        <v>188</v>
      </c>
      <c r="I40" s="58" t="s">
        <v>685</v>
      </c>
      <c r="J40" s="59" t="s">
        <v>294</v>
      </c>
      <c r="K40" s="61" t="str">
        <f t="shared" si="0"/>
        <v>Yo como usuario necesito registrarme en el sistema para poder crear mi cuenta y acceder a las funcionalidades personalizadas de la plataforma como cliente.</v>
      </c>
      <c r="L40" s="60" t="s">
        <v>692</v>
      </c>
      <c r="M40" s="60" t="s">
        <v>693</v>
      </c>
      <c r="N40" s="60" t="s">
        <v>694</v>
      </c>
      <c r="O40" s="25" t="s">
        <v>501</v>
      </c>
      <c r="P40" s="33" t="s">
        <v>689</v>
      </c>
      <c r="Q40" s="58" t="s">
        <v>809</v>
      </c>
      <c r="R40" s="58" t="s">
        <v>810</v>
      </c>
      <c r="S40" s="58" t="s">
        <v>811</v>
      </c>
      <c r="T40" s="24"/>
      <c r="U40" s="24"/>
    </row>
    <row r="41" spans="1:21" ht="25.5" x14ac:dyDescent="0.25">
      <c r="A41" s="66"/>
      <c r="B41" s="66"/>
      <c r="C41" s="65"/>
      <c r="D41" s="60"/>
      <c r="E41" s="60"/>
      <c r="F41" s="63"/>
      <c r="G41" s="60"/>
      <c r="H41" s="63"/>
      <c r="I41" s="58"/>
      <c r="J41" s="59"/>
      <c r="K41" s="61"/>
      <c r="L41" s="60"/>
      <c r="M41" s="60"/>
      <c r="N41" s="60"/>
      <c r="O41" s="25" t="s">
        <v>502</v>
      </c>
      <c r="P41" s="33" t="s">
        <v>691</v>
      </c>
      <c r="Q41" s="58"/>
      <c r="R41" s="58"/>
      <c r="S41" s="58"/>
      <c r="T41" s="24"/>
      <c r="U41" s="24"/>
    </row>
    <row r="42" spans="1:21" ht="26.25" x14ac:dyDescent="0.25">
      <c r="A42" s="66"/>
      <c r="B42" s="66"/>
      <c r="C42" s="65"/>
      <c r="D42" s="60"/>
      <c r="E42" s="60"/>
      <c r="F42" s="63"/>
      <c r="G42" s="60"/>
      <c r="H42" s="63"/>
      <c r="I42" s="58"/>
      <c r="J42" s="59"/>
      <c r="K42" s="61"/>
      <c r="L42" s="60"/>
      <c r="M42" s="60"/>
      <c r="N42" s="60"/>
      <c r="O42" s="25" t="s">
        <v>503</v>
      </c>
      <c r="P42" s="21" t="s">
        <v>690</v>
      </c>
      <c r="Q42" s="58"/>
      <c r="R42" s="58"/>
      <c r="S42" s="58"/>
      <c r="T42" s="24"/>
      <c r="U42" s="24"/>
    </row>
    <row r="43" spans="1:21" ht="25.5" x14ac:dyDescent="0.25">
      <c r="A43" s="66"/>
      <c r="B43" s="66"/>
      <c r="C43" s="65"/>
      <c r="D43" s="60" t="s">
        <v>75</v>
      </c>
      <c r="E43" s="60" t="s">
        <v>175</v>
      </c>
      <c r="F43" s="63" t="s">
        <v>178</v>
      </c>
      <c r="G43" s="60" t="s">
        <v>261</v>
      </c>
      <c r="H43" s="63" t="s">
        <v>188</v>
      </c>
      <c r="I43" s="60" t="s">
        <v>201</v>
      </c>
      <c r="J43" s="59" t="s">
        <v>295</v>
      </c>
      <c r="K43" s="61" t="str">
        <f>+CONCATENATE(D40," ",E43," ",F43," ",G43," ",H43," ",I43)</f>
        <v>Yo como usuario necesito iniciar sesión en el sistema para poder acceder a las funcionalidades y la información personalizada de la plataforma.</v>
      </c>
      <c r="L43" s="60" t="s">
        <v>700</v>
      </c>
      <c r="M43" s="60" t="s">
        <v>646</v>
      </c>
      <c r="N43" s="60" t="s">
        <v>647</v>
      </c>
      <c r="O43" s="25" t="s">
        <v>504</v>
      </c>
      <c r="P43" s="33" t="s">
        <v>487</v>
      </c>
      <c r="Q43" s="58" t="s">
        <v>812</v>
      </c>
      <c r="R43" s="58" t="s">
        <v>813</v>
      </c>
      <c r="S43" s="58"/>
      <c r="T43" s="24"/>
      <c r="U43" s="24"/>
    </row>
    <row r="44" spans="1:21" ht="25.5" customHeight="1" x14ac:dyDescent="0.25">
      <c r="A44" s="66"/>
      <c r="B44" s="66"/>
      <c r="C44" s="65"/>
      <c r="D44" s="60"/>
      <c r="E44" s="60"/>
      <c r="F44" s="63"/>
      <c r="G44" s="60"/>
      <c r="H44" s="63"/>
      <c r="I44" s="60"/>
      <c r="J44" s="59"/>
      <c r="K44" s="61"/>
      <c r="L44" s="60"/>
      <c r="M44" s="60"/>
      <c r="N44" s="60"/>
      <c r="O44" s="25" t="s">
        <v>505</v>
      </c>
      <c r="P44" s="33" t="s">
        <v>342</v>
      </c>
      <c r="Q44" s="58"/>
      <c r="R44" s="58"/>
      <c r="S44" s="58"/>
      <c r="T44" s="24"/>
      <c r="U44" s="24"/>
    </row>
    <row r="45" spans="1:21" ht="25.5" x14ac:dyDescent="0.25">
      <c r="A45" s="66"/>
      <c r="B45" s="66"/>
      <c r="C45" s="65"/>
      <c r="D45" s="60"/>
      <c r="E45" s="60"/>
      <c r="F45" s="63"/>
      <c r="G45" s="60"/>
      <c r="H45" s="63"/>
      <c r="I45" s="60"/>
      <c r="J45" s="59"/>
      <c r="K45" s="61"/>
      <c r="L45" s="60"/>
      <c r="M45" s="60"/>
      <c r="N45" s="60"/>
      <c r="O45" s="25" t="s">
        <v>506</v>
      </c>
      <c r="P45" s="33" t="s">
        <v>394</v>
      </c>
      <c r="Q45" s="58"/>
      <c r="R45" s="58"/>
      <c r="S45" s="58"/>
      <c r="T45" s="24"/>
      <c r="U45" s="24"/>
    </row>
    <row r="46" spans="1:21" x14ac:dyDescent="0.25">
      <c r="A46" s="66"/>
      <c r="B46" s="66"/>
      <c r="C46" s="65"/>
      <c r="D46" s="60"/>
      <c r="E46" s="60"/>
      <c r="F46" s="63"/>
      <c r="G46" s="60"/>
      <c r="H46" s="63"/>
      <c r="I46" s="60"/>
      <c r="J46" s="59"/>
      <c r="K46" s="61"/>
      <c r="L46" s="60"/>
      <c r="M46" s="60"/>
      <c r="N46" s="60"/>
      <c r="O46" s="25" t="s">
        <v>695</v>
      </c>
      <c r="P46" s="33" t="s">
        <v>395</v>
      </c>
      <c r="Q46" s="58"/>
      <c r="R46" s="58"/>
      <c r="S46" s="58"/>
      <c r="T46" s="24"/>
      <c r="U46" s="24"/>
    </row>
    <row r="47" spans="1:21" ht="25.5" customHeight="1" x14ac:dyDescent="0.25">
      <c r="A47" s="66"/>
      <c r="B47" s="66"/>
      <c r="C47" s="65"/>
      <c r="D47" s="60" t="s">
        <v>75</v>
      </c>
      <c r="E47" s="60" t="s">
        <v>175</v>
      </c>
      <c r="F47" s="63" t="s">
        <v>178</v>
      </c>
      <c r="G47" s="60" t="s">
        <v>881</v>
      </c>
      <c r="H47" s="63" t="s">
        <v>188</v>
      </c>
      <c r="I47" s="60" t="s">
        <v>202</v>
      </c>
      <c r="J47" s="59" t="s">
        <v>296</v>
      </c>
      <c r="K47" s="61" t="str">
        <f>+CONCATENATE(D43," ",E47," ",F47," ",G47," ",H47," ",I47)</f>
        <v>Yo como usuario necesito recuperar mi contraseña mediante mi número de whatsapp registrado para poder restablecer mi acceso al sistema en caso de olvido de mi contraseña de forma segura.</v>
      </c>
      <c r="L47" s="60" t="s">
        <v>700</v>
      </c>
      <c r="M47" s="60" t="s">
        <v>650</v>
      </c>
      <c r="N47" s="60" t="s">
        <v>651</v>
      </c>
      <c r="O47" s="25" t="s">
        <v>507</v>
      </c>
      <c r="P47" s="33" t="s">
        <v>343</v>
      </c>
      <c r="Q47" s="58" t="s">
        <v>812</v>
      </c>
      <c r="R47" s="58" t="s">
        <v>814</v>
      </c>
      <c r="S47" s="58" t="s">
        <v>815</v>
      </c>
      <c r="T47" s="24"/>
      <c r="U47" s="24"/>
    </row>
    <row r="48" spans="1:21" x14ac:dyDescent="0.25">
      <c r="A48" s="66"/>
      <c r="B48" s="66"/>
      <c r="C48" s="65"/>
      <c r="D48" s="60"/>
      <c r="E48" s="60"/>
      <c r="F48" s="63"/>
      <c r="G48" s="60"/>
      <c r="H48" s="63"/>
      <c r="I48" s="60"/>
      <c r="J48" s="59"/>
      <c r="K48" s="61"/>
      <c r="L48" s="60"/>
      <c r="M48" s="60"/>
      <c r="N48" s="60"/>
      <c r="O48" s="25" t="s">
        <v>508</v>
      </c>
      <c r="P48" s="33" t="s">
        <v>882</v>
      </c>
      <c r="Q48" s="58"/>
      <c r="R48" s="58"/>
      <c r="S48" s="58"/>
      <c r="T48" s="24"/>
      <c r="U48" s="24"/>
    </row>
    <row r="49" spans="1:21" ht="25.5" x14ac:dyDescent="0.25">
      <c r="A49" s="66"/>
      <c r="B49" s="66"/>
      <c r="C49" s="65"/>
      <c r="D49" s="60"/>
      <c r="E49" s="60"/>
      <c r="F49" s="63"/>
      <c r="G49" s="60"/>
      <c r="H49" s="63"/>
      <c r="I49" s="60"/>
      <c r="J49" s="59"/>
      <c r="K49" s="61"/>
      <c r="L49" s="60"/>
      <c r="M49" s="60"/>
      <c r="N49" s="60"/>
      <c r="O49" s="25" t="s">
        <v>509</v>
      </c>
      <c r="P49" s="33" t="s">
        <v>883</v>
      </c>
      <c r="Q49" s="58"/>
      <c r="R49" s="58"/>
      <c r="S49" s="58"/>
      <c r="T49" s="24"/>
      <c r="U49" s="24"/>
    </row>
    <row r="50" spans="1:21" ht="25.5" x14ac:dyDescent="0.25">
      <c r="A50" s="66"/>
      <c r="B50" s="66"/>
      <c r="C50" s="65"/>
      <c r="D50" s="60" t="s">
        <v>75</v>
      </c>
      <c r="E50" s="60" t="s">
        <v>175</v>
      </c>
      <c r="F50" s="63" t="s">
        <v>178</v>
      </c>
      <c r="G50" s="60" t="s">
        <v>242</v>
      </c>
      <c r="H50" s="63" t="s">
        <v>188</v>
      </c>
      <c r="I50" s="60" t="s">
        <v>203</v>
      </c>
      <c r="J50" s="59" t="s">
        <v>297</v>
      </c>
      <c r="K50" s="61" t="str">
        <f>+CONCATENATE(D47," ",E50," ",F50," ",G50," ",H50," ",I50)</f>
        <v>Yo como usuario necesito validar la recuperación de contraseña a través de mi correo electrónico para poder confirmar mi identidad al solicitar un restablecimiento de contraseña.</v>
      </c>
      <c r="L50" s="60" t="s">
        <v>700</v>
      </c>
      <c r="M50" s="60" t="s">
        <v>648</v>
      </c>
      <c r="N50" s="60" t="s">
        <v>649</v>
      </c>
      <c r="O50" s="25" t="s">
        <v>510</v>
      </c>
      <c r="P50" s="33" t="s">
        <v>344</v>
      </c>
      <c r="Q50" s="58" t="s">
        <v>812</v>
      </c>
      <c r="R50" s="58" t="s">
        <v>816</v>
      </c>
      <c r="S50" s="58" t="s">
        <v>817</v>
      </c>
      <c r="T50" s="24"/>
      <c r="U50" s="24"/>
    </row>
    <row r="51" spans="1:21" ht="25.5" x14ac:dyDescent="0.25">
      <c r="A51" s="66"/>
      <c r="B51" s="66"/>
      <c r="C51" s="65"/>
      <c r="D51" s="60"/>
      <c r="E51" s="60"/>
      <c r="F51" s="63"/>
      <c r="G51" s="60"/>
      <c r="H51" s="63"/>
      <c r="I51" s="60"/>
      <c r="J51" s="59"/>
      <c r="K51" s="61"/>
      <c r="L51" s="60"/>
      <c r="M51" s="60"/>
      <c r="N51" s="60"/>
      <c r="O51" s="25" t="s">
        <v>511</v>
      </c>
      <c r="P51" s="33" t="s">
        <v>396</v>
      </c>
      <c r="Q51" s="58"/>
      <c r="R51" s="58"/>
      <c r="S51" s="58"/>
      <c r="T51" s="24"/>
      <c r="U51" s="24"/>
    </row>
    <row r="52" spans="1:21" ht="25.5" x14ac:dyDescent="0.25">
      <c r="A52" s="66"/>
      <c r="B52" s="66"/>
      <c r="C52" s="65"/>
      <c r="D52" s="60"/>
      <c r="E52" s="60"/>
      <c r="F52" s="63"/>
      <c r="G52" s="60"/>
      <c r="H52" s="63"/>
      <c r="I52" s="60"/>
      <c r="J52" s="59"/>
      <c r="K52" s="61"/>
      <c r="L52" s="60"/>
      <c r="M52" s="60"/>
      <c r="N52" s="60"/>
      <c r="O52" s="25" t="s">
        <v>512</v>
      </c>
      <c r="P52" s="33" t="s">
        <v>397</v>
      </c>
      <c r="Q52" s="58"/>
      <c r="R52" s="58"/>
      <c r="S52" s="58"/>
      <c r="T52" s="24"/>
      <c r="U52" s="24"/>
    </row>
    <row r="53" spans="1:21" ht="38.25" x14ac:dyDescent="0.25">
      <c r="A53" s="66"/>
      <c r="B53" s="66"/>
      <c r="C53" s="65" t="s">
        <v>597</v>
      </c>
      <c r="D53" s="60" t="s">
        <v>75</v>
      </c>
      <c r="E53" s="60" t="s">
        <v>175</v>
      </c>
      <c r="F53" s="63" t="s">
        <v>178</v>
      </c>
      <c r="G53" s="62" t="s">
        <v>262</v>
      </c>
      <c r="H53" s="63" t="s">
        <v>188</v>
      </c>
      <c r="I53" s="60" t="s">
        <v>204</v>
      </c>
      <c r="J53" s="59" t="s">
        <v>699</v>
      </c>
      <c r="K53" s="61" t="str">
        <f>+CONCATENATE(D50," ",E53," ",F53," ",G53," ",H53," ",I53)</f>
        <v>Yo como usuario necesito recibir notificaciones al correo electrónico sobre los estados de mi carga para poder mantenerme informado sobre los cambios importantes en el proceso de envío.</v>
      </c>
      <c r="L53" s="60" t="s">
        <v>701</v>
      </c>
      <c r="M53" s="60" t="s">
        <v>652</v>
      </c>
      <c r="N53" s="60" t="s">
        <v>653</v>
      </c>
      <c r="O53" s="25" t="s">
        <v>696</v>
      </c>
      <c r="P53" s="33" t="s">
        <v>398</v>
      </c>
      <c r="Q53" s="58" t="s">
        <v>818</v>
      </c>
      <c r="R53" s="58" t="s">
        <v>819</v>
      </c>
      <c r="S53" s="58" t="s">
        <v>820</v>
      </c>
      <c r="T53" s="24"/>
      <c r="U53" s="24"/>
    </row>
    <row r="54" spans="1:21" ht="25.5" x14ac:dyDescent="0.25">
      <c r="A54" s="66"/>
      <c r="B54" s="66"/>
      <c r="C54" s="65"/>
      <c r="D54" s="60"/>
      <c r="E54" s="60"/>
      <c r="F54" s="63"/>
      <c r="G54" s="62"/>
      <c r="H54" s="63"/>
      <c r="I54" s="60"/>
      <c r="J54" s="59"/>
      <c r="K54" s="61"/>
      <c r="L54" s="60"/>
      <c r="M54" s="60"/>
      <c r="N54" s="60"/>
      <c r="O54" s="25" t="s">
        <v>697</v>
      </c>
      <c r="P54" s="33" t="s">
        <v>488</v>
      </c>
      <c r="Q54" s="58"/>
      <c r="R54" s="58"/>
      <c r="S54" s="58"/>
      <c r="T54" s="24"/>
      <c r="U54" s="24"/>
    </row>
    <row r="55" spans="1:21" ht="25.5" x14ac:dyDescent="0.25">
      <c r="A55" s="66"/>
      <c r="B55" s="66"/>
      <c r="C55" s="65"/>
      <c r="D55" s="60"/>
      <c r="E55" s="60"/>
      <c r="F55" s="63"/>
      <c r="G55" s="62"/>
      <c r="H55" s="63"/>
      <c r="I55" s="60"/>
      <c r="J55" s="59"/>
      <c r="K55" s="61"/>
      <c r="L55" s="60"/>
      <c r="M55" s="60"/>
      <c r="N55" s="60"/>
      <c r="O55" s="25" t="s">
        <v>698</v>
      </c>
      <c r="P55" s="33" t="s">
        <v>345</v>
      </c>
      <c r="Q55" s="58"/>
      <c r="R55" s="58"/>
      <c r="S55" s="58"/>
      <c r="T55" s="24"/>
      <c r="U55" s="24"/>
    </row>
    <row r="56" spans="1:21" ht="25.5" customHeight="1" x14ac:dyDescent="0.25">
      <c r="A56" s="66" t="s">
        <v>593</v>
      </c>
      <c r="B56" s="66" t="s">
        <v>748</v>
      </c>
      <c r="C56" s="65" t="s">
        <v>589</v>
      </c>
      <c r="D56" s="60" t="s">
        <v>75</v>
      </c>
      <c r="E56" s="60" t="s">
        <v>177</v>
      </c>
      <c r="F56" s="63" t="s">
        <v>178</v>
      </c>
      <c r="G56" s="60" t="s">
        <v>241</v>
      </c>
      <c r="H56" s="63" t="s">
        <v>188</v>
      </c>
      <c r="I56" s="60" t="s">
        <v>199</v>
      </c>
      <c r="J56" s="59" t="s">
        <v>298</v>
      </c>
      <c r="K56" s="61" t="str">
        <f>+CONCATENATE(D53," ",E56," ",F56," ",G56," ",H56," ",I56)</f>
        <v>Yo como superadministrador necesito definir los niveles de información disponible en el QR según el rol del usuario para poder asegurar que cada tipo de usuario acceda solo a la información relevante para sus funciones.</v>
      </c>
      <c r="L56" s="60" t="s">
        <v>707</v>
      </c>
      <c r="M56" s="60" t="s">
        <v>654</v>
      </c>
      <c r="N56" s="60" t="s">
        <v>655</v>
      </c>
      <c r="O56" s="25" t="s">
        <v>513</v>
      </c>
      <c r="P56" s="33" t="s">
        <v>346</v>
      </c>
      <c r="Q56" s="58" t="s">
        <v>821</v>
      </c>
      <c r="R56" s="58" t="s">
        <v>822</v>
      </c>
      <c r="S56" s="58" t="s">
        <v>823</v>
      </c>
      <c r="T56" s="24"/>
      <c r="U56" s="24"/>
    </row>
    <row r="57" spans="1:21" ht="38.25" x14ac:dyDescent="0.25">
      <c r="A57" s="66"/>
      <c r="B57" s="66"/>
      <c r="C57" s="65"/>
      <c r="D57" s="60"/>
      <c r="E57" s="60"/>
      <c r="F57" s="63"/>
      <c r="G57" s="60"/>
      <c r="H57" s="63"/>
      <c r="I57" s="60"/>
      <c r="J57" s="59"/>
      <c r="K57" s="61"/>
      <c r="L57" s="60"/>
      <c r="M57" s="60"/>
      <c r="N57" s="60"/>
      <c r="O57" s="25" t="s">
        <v>514</v>
      </c>
      <c r="P57" s="33" t="s">
        <v>399</v>
      </c>
      <c r="Q57" s="58"/>
      <c r="R57" s="58"/>
      <c r="S57" s="58"/>
      <c r="T57" s="24"/>
      <c r="U57" s="24"/>
    </row>
    <row r="58" spans="1:21" ht="25.5" x14ac:dyDescent="0.25">
      <c r="A58" s="66"/>
      <c r="B58" s="66"/>
      <c r="C58" s="65"/>
      <c r="D58" s="60"/>
      <c r="E58" s="60"/>
      <c r="F58" s="63"/>
      <c r="G58" s="60"/>
      <c r="H58" s="63"/>
      <c r="I58" s="60"/>
      <c r="J58" s="59"/>
      <c r="K58" s="61"/>
      <c r="L58" s="60"/>
      <c r="M58" s="60"/>
      <c r="N58" s="60"/>
      <c r="O58" s="25" t="s">
        <v>515</v>
      </c>
      <c r="P58" s="33" t="s">
        <v>400</v>
      </c>
      <c r="Q58" s="58"/>
      <c r="R58" s="58"/>
      <c r="S58" s="58"/>
      <c r="T58" s="24"/>
      <c r="U58" s="24"/>
    </row>
    <row r="59" spans="1:21" ht="15" customHeight="1" x14ac:dyDescent="0.25">
      <c r="A59" s="66"/>
      <c r="B59" s="66"/>
      <c r="C59" s="65" t="s">
        <v>590</v>
      </c>
      <c r="D59" s="60" t="s">
        <v>75</v>
      </c>
      <c r="E59" s="60" t="s">
        <v>177</v>
      </c>
      <c r="F59" s="63" t="s">
        <v>178</v>
      </c>
      <c r="G59" s="62" t="s">
        <v>270</v>
      </c>
      <c r="H59" s="63" t="s">
        <v>188</v>
      </c>
      <c r="I59" s="60" t="s">
        <v>223</v>
      </c>
      <c r="J59" s="59" t="s">
        <v>299</v>
      </c>
      <c r="K59" s="61" t="str">
        <f>+CONCATENATE(D56," ",E59," ",F59," ",G59," ",H59," ",I59)</f>
        <v>Yo como superadministrador necesito crear un rol para poder definir diferentes perfiles de usuario con distintos niveles de acceso y permisos.</v>
      </c>
      <c r="L59" s="60" t="s">
        <v>707</v>
      </c>
      <c r="M59" s="60" t="s">
        <v>656</v>
      </c>
      <c r="N59" s="60" t="s">
        <v>657</v>
      </c>
      <c r="O59" s="25" t="s">
        <v>516</v>
      </c>
      <c r="P59" s="33" t="s">
        <v>347</v>
      </c>
      <c r="Q59" s="58" t="s">
        <v>821</v>
      </c>
      <c r="R59" s="58" t="s">
        <v>824</v>
      </c>
      <c r="S59" s="58" t="s">
        <v>825</v>
      </c>
      <c r="T59" s="24"/>
      <c r="U59" s="24"/>
    </row>
    <row r="60" spans="1:21" ht="25.5" x14ac:dyDescent="0.25">
      <c r="A60" s="66"/>
      <c r="B60" s="66"/>
      <c r="C60" s="65"/>
      <c r="D60" s="60"/>
      <c r="E60" s="60"/>
      <c r="F60" s="63"/>
      <c r="G60" s="62"/>
      <c r="H60" s="63"/>
      <c r="I60" s="60"/>
      <c r="J60" s="59"/>
      <c r="K60" s="61"/>
      <c r="L60" s="60"/>
      <c r="M60" s="60"/>
      <c r="N60" s="60"/>
      <c r="O60" s="25" t="s">
        <v>517</v>
      </c>
      <c r="P60" s="33" t="s">
        <v>348</v>
      </c>
      <c r="Q60" s="58"/>
      <c r="R60" s="58"/>
      <c r="S60" s="58"/>
      <c r="T60" s="24"/>
      <c r="U60" s="24"/>
    </row>
    <row r="61" spans="1:21" ht="60" x14ac:dyDescent="0.25">
      <c r="A61" s="66"/>
      <c r="B61" s="66"/>
      <c r="C61" s="65"/>
      <c r="D61" s="19" t="s">
        <v>75</v>
      </c>
      <c r="E61" s="27" t="s">
        <v>177</v>
      </c>
      <c r="F61" s="29" t="s">
        <v>178</v>
      </c>
      <c r="G61" s="13" t="s">
        <v>271</v>
      </c>
      <c r="H61" s="29" t="s">
        <v>188</v>
      </c>
      <c r="I61" s="27" t="s">
        <v>224</v>
      </c>
      <c r="J61" s="26" t="s">
        <v>300</v>
      </c>
      <c r="K61" s="28" t="str">
        <f>+CONCATENATE(D58," ",E61," ",F61," ",G61," ",H61," ",I61)</f>
        <v xml:space="preserve"> superadministrador necesito modificar un rol para poder actualizar los permisos o el nombre de un rol existente según las necesidades del sistema.</v>
      </c>
      <c r="L61" s="27" t="s">
        <v>707</v>
      </c>
      <c r="M61" s="27" t="s">
        <v>658</v>
      </c>
      <c r="N61" s="27" t="s">
        <v>660</v>
      </c>
      <c r="O61" s="25" t="s">
        <v>518</v>
      </c>
      <c r="P61" s="33" t="s">
        <v>401</v>
      </c>
      <c r="Q61" s="34" t="s">
        <v>821</v>
      </c>
      <c r="R61" s="34" t="s">
        <v>826</v>
      </c>
      <c r="S61" s="34" t="s">
        <v>827</v>
      </c>
      <c r="T61" s="24"/>
      <c r="U61" s="24"/>
    </row>
    <row r="62" spans="1:21" ht="60" customHeight="1" x14ac:dyDescent="0.25">
      <c r="A62" s="66"/>
      <c r="B62" s="66"/>
      <c r="C62" s="65"/>
      <c r="D62" s="60" t="s">
        <v>75</v>
      </c>
      <c r="E62" s="60" t="s">
        <v>177</v>
      </c>
      <c r="F62" s="63" t="s">
        <v>178</v>
      </c>
      <c r="G62" s="62" t="s">
        <v>272</v>
      </c>
      <c r="H62" s="63" t="s">
        <v>188</v>
      </c>
      <c r="I62" s="60" t="s">
        <v>225</v>
      </c>
      <c r="J62" s="59" t="s">
        <v>301</v>
      </c>
      <c r="K62" s="61" t="str">
        <f>+CONCATENATE(D59," ",E62," ",F62," ",G62," ",H62," ",I62)</f>
        <v>Yo como superadministrador necesito eliminar un rol para poder remover un perfil de usuario que ya no es necesario en el sistema.</v>
      </c>
      <c r="L62" s="60" t="s">
        <v>707</v>
      </c>
      <c r="M62" s="60" t="s">
        <v>658</v>
      </c>
      <c r="N62" s="60" t="s">
        <v>660</v>
      </c>
      <c r="O62" s="25" t="s">
        <v>519</v>
      </c>
      <c r="P62" s="33" t="s">
        <v>659</v>
      </c>
      <c r="Q62" s="55" t="s">
        <v>821</v>
      </c>
      <c r="R62" s="55" t="s">
        <v>826</v>
      </c>
      <c r="S62" s="55" t="s">
        <v>827</v>
      </c>
      <c r="T62" s="24"/>
      <c r="U62" s="24"/>
    </row>
    <row r="63" spans="1:21" x14ac:dyDescent="0.25">
      <c r="A63" s="66"/>
      <c r="B63" s="66"/>
      <c r="C63" s="65"/>
      <c r="D63" s="60"/>
      <c r="E63" s="60"/>
      <c r="F63" s="63"/>
      <c r="G63" s="62"/>
      <c r="H63" s="63"/>
      <c r="I63" s="60"/>
      <c r="J63" s="59"/>
      <c r="K63" s="61"/>
      <c r="L63" s="60"/>
      <c r="M63" s="60"/>
      <c r="N63" s="60"/>
      <c r="O63" s="25" t="s">
        <v>520</v>
      </c>
      <c r="P63" s="33" t="s">
        <v>489</v>
      </c>
      <c r="Q63" s="57"/>
      <c r="R63" s="57"/>
      <c r="S63" s="57"/>
      <c r="T63" s="24"/>
      <c r="U63" s="24"/>
    </row>
    <row r="64" spans="1:21" ht="90" customHeight="1" x14ac:dyDescent="0.25">
      <c r="A64" s="66"/>
      <c r="B64" s="66"/>
      <c r="C64" s="65"/>
      <c r="D64" s="60" t="s">
        <v>75</v>
      </c>
      <c r="E64" s="60" t="s">
        <v>177</v>
      </c>
      <c r="F64" s="63" t="s">
        <v>178</v>
      </c>
      <c r="G64" s="62" t="s">
        <v>779</v>
      </c>
      <c r="H64" s="63" t="s">
        <v>188</v>
      </c>
      <c r="I64" s="60" t="s">
        <v>226</v>
      </c>
      <c r="J64" s="59" t="s">
        <v>302</v>
      </c>
      <c r="K64" s="61" t="str">
        <f>+CONCATENATE(D61," ",E64," ",F64," ",G64," ",H64," ",I64)</f>
        <v>Yo como superadministrador necesito asignar los permisos de un rol para poder definir las acciones que los usuarios con ese rol podrán realizar en el sistema.</v>
      </c>
      <c r="L64" s="60" t="s">
        <v>707</v>
      </c>
      <c r="M64" s="60" t="s">
        <v>663</v>
      </c>
      <c r="N64" s="60" t="s">
        <v>664</v>
      </c>
      <c r="O64" s="25" t="s">
        <v>521</v>
      </c>
      <c r="P64" s="33" t="s">
        <v>780</v>
      </c>
      <c r="Q64" s="55" t="s">
        <v>821</v>
      </c>
      <c r="R64" s="55" t="s">
        <v>828</v>
      </c>
      <c r="S64" s="55" t="s">
        <v>829</v>
      </c>
      <c r="T64" s="24"/>
      <c r="U64" s="24"/>
    </row>
    <row r="65" spans="1:21" ht="25.5" x14ac:dyDescent="0.25">
      <c r="A65" s="66"/>
      <c r="B65" s="66"/>
      <c r="C65" s="65"/>
      <c r="D65" s="60"/>
      <c r="E65" s="60"/>
      <c r="F65" s="63"/>
      <c r="G65" s="62"/>
      <c r="H65" s="63"/>
      <c r="I65" s="60"/>
      <c r="J65" s="59"/>
      <c r="K65" s="61"/>
      <c r="L65" s="60"/>
      <c r="M65" s="60"/>
      <c r="N65" s="60"/>
      <c r="O65" s="25" t="s">
        <v>522</v>
      </c>
      <c r="P65" s="33" t="s">
        <v>349</v>
      </c>
      <c r="Q65" s="57"/>
      <c r="R65" s="57"/>
      <c r="S65" s="57"/>
      <c r="T65" s="24"/>
      <c r="U65" s="24"/>
    </row>
    <row r="66" spans="1:21" ht="40.5" customHeight="1" x14ac:dyDescent="0.25">
      <c r="A66" s="66"/>
      <c r="B66" s="66"/>
      <c r="C66" s="65" t="s">
        <v>591</v>
      </c>
      <c r="D66" s="19" t="s">
        <v>75</v>
      </c>
      <c r="E66" s="27" t="s">
        <v>177</v>
      </c>
      <c r="F66" s="29" t="s">
        <v>178</v>
      </c>
      <c r="G66" s="13" t="s">
        <v>273</v>
      </c>
      <c r="H66" s="29" t="s">
        <v>188</v>
      </c>
      <c r="I66" s="27" t="s">
        <v>227</v>
      </c>
      <c r="J66" s="26" t="s">
        <v>303</v>
      </c>
      <c r="K66" s="28" t="str">
        <f>+CONCATENATE(D62," ",E66," ",F66," ",G66," ",H66," ",I66)</f>
        <v>Yo como superadministrador necesito modificar los permisos de un rol para poder ajustar los accesos y capacidades de un rol específico.</v>
      </c>
      <c r="L66" s="27" t="s">
        <v>707</v>
      </c>
      <c r="M66" s="27" t="s">
        <v>665</v>
      </c>
      <c r="N66" s="27" t="s">
        <v>666</v>
      </c>
      <c r="O66" s="25" t="s">
        <v>523</v>
      </c>
      <c r="P66" s="33" t="s">
        <v>661</v>
      </c>
      <c r="Q66" s="34" t="s">
        <v>821</v>
      </c>
      <c r="R66" s="34" t="s">
        <v>830</v>
      </c>
      <c r="S66" s="34" t="s">
        <v>831</v>
      </c>
      <c r="T66" s="24"/>
      <c r="U66" s="24"/>
    </row>
    <row r="67" spans="1:21" ht="45" x14ac:dyDescent="0.25">
      <c r="A67" s="66"/>
      <c r="B67" s="66"/>
      <c r="C67" s="65"/>
      <c r="D67" s="19" t="s">
        <v>75</v>
      </c>
      <c r="E67" s="27" t="s">
        <v>177</v>
      </c>
      <c r="F67" s="29" t="s">
        <v>178</v>
      </c>
      <c r="G67" s="13" t="s">
        <v>781</v>
      </c>
      <c r="H67" s="29" t="s">
        <v>188</v>
      </c>
      <c r="I67" s="27" t="s">
        <v>228</v>
      </c>
      <c r="J67" s="26" t="s">
        <v>304</v>
      </c>
      <c r="K67" s="28" t="str">
        <f>+CONCATENATE(D64," ",E67," ",F67," ",G67," ",H67," ",I67)</f>
        <v>Yo como superadministrador necesito deshabilitar los permisos de un rol para poder revocar las autorizaciones de un rol para realizar ciertas acciones.</v>
      </c>
      <c r="L67" s="27" t="s">
        <v>707</v>
      </c>
      <c r="M67" s="27" t="s">
        <v>665</v>
      </c>
      <c r="N67" s="27" t="s">
        <v>666</v>
      </c>
      <c r="O67" s="25" t="s">
        <v>524</v>
      </c>
      <c r="P67" s="33" t="s">
        <v>662</v>
      </c>
      <c r="Q67" s="34" t="s">
        <v>821</v>
      </c>
      <c r="R67" s="34" t="s">
        <v>830</v>
      </c>
      <c r="S67" s="34" t="s">
        <v>831</v>
      </c>
      <c r="T67" s="24"/>
      <c r="U67" s="24"/>
    </row>
    <row r="68" spans="1:21" ht="38.25" customHeight="1" x14ac:dyDescent="0.25">
      <c r="A68" s="66"/>
      <c r="B68" s="66"/>
      <c r="C68" s="65" t="s">
        <v>592</v>
      </c>
      <c r="D68" s="60" t="s">
        <v>75</v>
      </c>
      <c r="E68" s="60" t="s">
        <v>177</v>
      </c>
      <c r="F68" s="63" t="s">
        <v>178</v>
      </c>
      <c r="G68" s="62" t="s">
        <v>381</v>
      </c>
      <c r="H68" s="63" t="s">
        <v>188</v>
      </c>
      <c r="I68" s="60" t="s">
        <v>229</v>
      </c>
      <c r="J68" s="59" t="s">
        <v>305</v>
      </c>
      <c r="K68" s="64" t="str">
        <f>+CONCATENATE(D65," ",E68," ",F68," ",G68," ",H68," ",I68)</f>
        <v xml:space="preserve"> superadministrador necesito asignar un rol específico (cliente; bodeguero o administrador) a los usuarios del sistema para poder categorizar a los usuarios según sus funciones y responsabilidades dentro de la plataforma.</v>
      </c>
      <c r="L68" s="60" t="s">
        <v>707</v>
      </c>
      <c r="M68" s="60" t="s">
        <v>667</v>
      </c>
      <c r="N68" s="60" t="s">
        <v>668</v>
      </c>
      <c r="O68" s="25" t="s">
        <v>525</v>
      </c>
      <c r="P68" s="33" t="s">
        <v>402</v>
      </c>
      <c r="Q68" s="55" t="s">
        <v>821</v>
      </c>
      <c r="R68" s="55" t="s">
        <v>832</v>
      </c>
      <c r="S68" s="55" t="s">
        <v>833</v>
      </c>
      <c r="T68" s="24"/>
      <c r="U68" s="24"/>
    </row>
    <row r="69" spans="1:21" ht="30.75" customHeight="1" x14ac:dyDescent="0.25">
      <c r="A69" s="66"/>
      <c r="B69" s="66"/>
      <c r="C69" s="65"/>
      <c r="D69" s="60"/>
      <c r="E69" s="60"/>
      <c r="F69" s="63"/>
      <c r="G69" s="62"/>
      <c r="H69" s="63"/>
      <c r="I69" s="60"/>
      <c r="J69" s="59"/>
      <c r="K69" s="64"/>
      <c r="L69" s="60"/>
      <c r="M69" s="60"/>
      <c r="N69" s="60"/>
      <c r="O69" s="25" t="s">
        <v>526</v>
      </c>
      <c r="P69" s="33" t="s">
        <v>350</v>
      </c>
      <c r="Q69" s="57"/>
      <c r="R69" s="57"/>
      <c r="S69" s="57"/>
      <c r="T69" s="24"/>
      <c r="U69" s="24"/>
    </row>
    <row r="70" spans="1:21" ht="30.75" customHeight="1" x14ac:dyDescent="0.25">
      <c r="A70" s="66"/>
      <c r="B70" s="66"/>
      <c r="C70" s="54" t="s">
        <v>702</v>
      </c>
      <c r="D70" s="60" t="s">
        <v>75</v>
      </c>
      <c r="E70" s="60" t="s">
        <v>177</v>
      </c>
      <c r="F70" s="63" t="s">
        <v>178</v>
      </c>
      <c r="G70" s="62" t="s">
        <v>703</v>
      </c>
      <c r="H70" s="63" t="s">
        <v>188</v>
      </c>
      <c r="I70" s="60" t="s">
        <v>704</v>
      </c>
      <c r="J70" s="59" t="s">
        <v>306</v>
      </c>
      <c r="K70" s="64" t="str">
        <f t="shared" ref="K70" si="1">+CONCATENATE(D67," ",E70," ",F70," ",G70," ",H70," ",I70)</f>
        <v>Yo como superadministrador necesito gestionar los usuarios existentes en el sistema (clientes, bodegueros, administradores, superadministradores) para poder mantener actualizada la información de sus cuentas, crear nuevos usuarios de otros roles y controlar el acceso a la plataforma.</v>
      </c>
      <c r="L70" s="60" t="s">
        <v>707</v>
      </c>
      <c r="M70" s="60" t="s">
        <v>709</v>
      </c>
      <c r="N70" s="60" t="s">
        <v>710</v>
      </c>
      <c r="O70" s="25" t="s">
        <v>527</v>
      </c>
      <c r="P70" s="22" t="s">
        <v>705</v>
      </c>
      <c r="Q70" s="55" t="s">
        <v>821</v>
      </c>
      <c r="R70" s="55" t="s">
        <v>834</v>
      </c>
      <c r="S70" s="55" t="s">
        <v>835</v>
      </c>
      <c r="T70" s="24"/>
      <c r="U70" s="24"/>
    </row>
    <row r="71" spans="1:21" ht="45" x14ac:dyDescent="0.25">
      <c r="A71" s="66"/>
      <c r="B71" s="66"/>
      <c r="C71" s="54"/>
      <c r="D71" s="60"/>
      <c r="E71" s="60"/>
      <c r="F71" s="63"/>
      <c r="G71" s="62"/>
      <c r="H71" s="63"/>
      <c r="I71" s="60"/>
      <c r="J71" s="59"/>
      <c r="K71" s="64"/>
      <c r="L71" s="60"/>
      <c r="M71" s="60"/>
      <c r="N71" s="60"/>
      <c r="O71" s="25" t="s">
        <v>528</v>
      </c>
      <c r="P71" s="22" t="s">
        <v>706</v>
      </c>
      <c r="Q71" s="56"/>
      <c r="R71" s="56"/>
      <c r="S71" s="56"/>
      <c r="T71" s="24"/>
      <c r="U71" s="24"/>
    </row>
    <row r="72" spans="1:21" ht="44.25" customHeight="1" x14ac:dyDescent="0.25">
      <c r="A72" s="66"/>
      <c r="B72" s="66"/>
      <c r="C72" s="54"/>
      <c r="D72" s="60"/>
      <c r="E72" s="60"/>
      <c r="F72" s="63"/>
      <c r="G72" s="62"/>
      <c r="H72" s="63"/>
      <c r="I72" s="60"/>
      <c r="J72" s="59"/>
      <c r="K72" s="64"/>
      <c r="L72" s="60"/>
      <c r="M72" s="60"/>
      <c r="N72" s="60"/>
      <c r="O72" s="25" t="s">
        <v>529</v>
      </c>
      <c r="P72" s="23" t="s">
        <v>708</v>
      </c>
      <c r="Q72" s="57"/>
      <c r="R72" s="57"/>
      <c r="S72" s="57"/>
      <c r="T72" s="24"/>
      <c r="U72" s="24"/>
    </row>
    <row r="73" spans="1:21" ht="75" customHeight="1" x14ac:dyDescent="0.25">
      <c r="A73" s="66" t="s">
        <v>594</v>
      </c>
      <c r="B73" s="66"/>
      <c r="C73" s="54"/>
      <c r="D73" s="60" t="s">
        <v>75</v>
      </c>
      <c r="E73" s="60" t="s">
        <v>176</v>
      </c>
      <c r="F73" s="63" t="s">
        <v>178</v>
      </c>
      <c r="G73" s="62" t="s">
        <v>274</v>
      </c>
      <c r="H73" s="63" t="s">
        <v>188</v>
      </c>
      <c r="I73" s="60" t="s">
        <v>230</v>
      </c>
      <c r="J73" s="59" t="s">
        <v>307</v>
      </c>
      <c r="K73" s="64" t="str">
        <f>+CONCATENATE(D75," ",E73," ",F73," ",G73," ",H73," ",I73)</f>
        <v>Yo como administrador necesito visualizar una lista de todos los usuarios del sistema para poder tener una visión general de los usuarios registrados en la plataforma para su gestión.</v>
      </c>
      <c r="L73" s="60" t="s">
        <v>707</v>
      </c>
      <c r="M73" s="60" t="s">
        <v>671</v>
      </c>
      <c r="N73" s="60" t="s">
        <v>672</v>
      </c>
      <c r="O73" s="25" t="s">
        <v>530</v>
      </c>
      <c r="P73" s="33" t="s">
        <v>353</v>
      </c>
      <c r="Q73" s="55" t="s">
        <v>821</v>
      </c>
      <c r="R73" s="55" t="s">
        <v>836</v>
      </c>
      <c r="S73" s="55" t="s">
        <v>837</v>
      </c>
      <c r="T73" s="24"/>
      <c r="U73" s="24"/>
    </row>
    <row r="74" spans="1:21" ht="25.5" x14ac:dyDescent="0.25">
      <c r="A74" s="66"/>
      <c r="B74" s="66"/>
      <c r="C74" s="54"/>
      <c r="D74" s="60"/>
      <c r="E74" s="60"/>
      <c r="F74" s="63"/>
      <c r="G74" s="62"/>
      <c r="H74" s="63"/>
      <c r="I74" s="60"/>
      <c r="J74" s="59"/>
      <c r="K74" s="64"/>
      <c r="L74" s="60"/>
      <c r="M74" s="60"/>
      <c r="N74" s="60"/>
      <c r="O74" s="25" t="s">
        <v>531</v>
      </c>
      <c r="P74" s="33" t="s">
        <v>404</v>
      </c>
      <c r="Q74" s="57"/>
      <c r="R74" s="57"/>
      <c r="S74" s="57"/>
      <c r="T74" s="24"/>
      <c r="U74" s="24"/>
    </row>
    <row r="75" spans="1:21" ht="38.25" customHeight="1" x14ac:dyDescent="0.25">
      <c r="A75" s="66"/>
      <c r="B75" s="66" t="s">
        <v>601</v>
      </c>
      <c r="C75" s="65" t="s">
        <v>173</v>
      </c>
      <c r="D75" s="60" t="s">
        <v>75</v>
      </c>
      <c r="E75" s="60" t="s">
        <v>176</v>
      </c>
      <c r="F75" s="63" t="s">
        <v>178</v>
      </c>
      <c r="G75" s="60" t="s">
        <v>378</v>
      </c>
      <c r="H75" s="63" t="s">
        <v>188</v>
      </c>
      <c r="I75" s="60" t="s">
        <v>200</v>
      </c>
      <c r="J75" s="59" t="s">
        <v>308</v>
      </c>
      <c r="K75" s="64" t="str">
        <f>+CONCATENATE(D67," ",E75," ",F75," ",G75," ",H75," ",I75)</f>
        <v>Yo como administrador necesito recibir una solicitud de confirmación antes de finalizar acciones importantes (modificar carga; eliminar carga; etc) para poder prevenir errores o acciones no deseadas que puedan afectar la integridad de la información.</v>
      </c>
      <c r="L75" s="60" t="s">
        <v>770</v>
      </c>
      <c r="M75" s="60" t="s">
        <v>669</v>
      </c>
      <c r="N75" s="60" t="s">
        <v>670</v>
      </c>
      <c r="O75" s="25" t="s">
        <v>532</v>
      </c>
      <c r="P75" s="33" t="s">
        <v>403</v>
      </c>
      <c r="Q75" s="55" t="s">
        <v>838</v>
      </c>
      <c r="R75" s="55" t="s">
        <v>839</v>
      </c>
      <c r="S75" s="55" t="s">
        <v>840</v>
      </c>
      <c r="T75" s="24"/>
      <c r="U75" s="24"/>
    </row>
    <row r="76" spans="1:21" ht="25.5" x14ac:dyDescent="0.25">
      <c r="A76" s="66"/>
      <c r="B76" s="66"/>
      <c r="C76" s="65"/>
      <c r="D76" s="60"/>
      <c r="E76" s="60"/>
      <c r="F76" s="63"/>
      <c r="G76" s="60"/>
      <c r="H76" s="63"/>
      <c r="I76" s="60"/>
      <c r="J76" s="59"/>
      <c r="K76" s="64"/>
      <c r="L76" s="60"/>
      <c r="M76" s="60"/>
      <c r="N76" s="60"/>
      <c r="O76" s="25" t="s">
        <v>533</v>
      </c>
      <c r="P76" s="33" t="s">
        <v>351</v>
      </c>
      <c r="Q76" s="56"/>
      <c r="R76" s="56"/>
      <c r="S76" s="56"/>
      <c r="T76" s="24"/>
      <c r="U76" s="24"/>
    </row>
    <row r="77" spans="1:21" ht="25.5" customHeight="1" x14ac:dyDescent="0.25">
      <c r="A77" s="66"/>
      <c r="B77" s="66"/>
      <c r="C77" s="65"/>
      <c r="D77" s="60"/>
      <c r="E77" s="60"/>
      <c r="F77" s="63"/>
      <c r="G77" s="60"/>
      <c r="H77" s="63"/>
      <c r="I77" s="60"/>
      <c r="J77" s="59"/>
      <c r="K77" s="64"/>
      <c r="L77" s="60"/>
      <c r="M77" s="60"/>
      <c r="N77" s="60"/>
      <c r="O77" s="25" t="s">
        <v>711</v>
      </c>
      <c r="P77" s="33" t="s">
        <v>352</v>
      </c>
      <c r="Q77" s="57"/>
      <c r="R77" s="57"/>
      <c r="S77" s="57"/>
      <c r="T77" s="24"/>
      <c r="U77" s="24"/>
    </row>
    <row r="78" spans="1:21" ht="75" customHeight="1" x14ac:dyDescent="0.25">
      <c r="A78" s="66"/>
      <c r="B78" s="54" t="s">
        <v>600</v>
      </c>
      <c r="C78" s="65" t="s">
        <v>186</v>
      </c>
      <c r="D78" s="60" t="s">
        <v>75</v>
      </c>
      <c r="E78" s="60" t="s">
        <v>176</v>
      </c>
      <c r="F78" s="63" t="s">
        <v>178</v>
      </c>
      <c r="G78" s="62" t="s">
        <v>275</v>
      </c>
      <c r="H78" s="63" t="s">
        <v>188</v>
      </c>
      <c r="I78" s="60" t="s">
        <v>231</v>
      </c>
      <c r="J78" s="59" t="s">
        <v>309</v>
      </c>
      <c r="K78" s="64" t="str">
        <f>+CONCATENATE(D78," ",E78," ",F78," ",G78," ",H78," ",I78)</f>
        <v>Yo como administrador necesito cerrar sesiones del sistema para poder finalizar las sesiones de usuarios por motivos de seguridad o administración.</v>
      </c>
      <c r="L78" s="60" t="s">
        <v>769</v>
      </c>
      <c r="M78" s="60" t="s">
        <v>673</v>
      </c>
      <c r="N78" s="60" t="s">
        <v>674</v>
      </c>
      <c r="O78" s="25" t="s">
        <v>534</v>
      </c>
      <c r="P78" s="33" t="s">
        <v>405</v>
      </c>
      <c r="Q78" s="55" t="s">
        <v>841</v>
      </c>
      <c r="R78" s="55" t="s">
        <v>842</v>
      </c>
      <c r="S78" s="55" t="s">
        <v>843</v>
      </c>
      <c r="T78" s="24"/>
      <c r="U78" s="24"/>
    </row>
    <row r="79" spans="1:21" ht="25.5" x14ac:dyDescent="0.25">
      <c r="A79" s="66"/>
      <c r="B79" s="54"/>
      <c r="C79" s="65"/>
      <c r="D79" s="60"/>
      <c r="E79" s="60"/>
      <c r="F79" s="63"/>
      <c r="G79" s="62"/>
      <c r="H79" s="63"/>
      <c r="I79" s="60"/>
      <c r="J79" s="59"/>
      <c r="K79" s="64"/>
      <c r="L79" s="60"/>
      <c r="M79" s="60"/>
      <c r="N79" s="60"/>
      <c r="O79" s="25" t="s">
        <v>535</v>
      </c>
      <c r="P79" s="33" t="s">
        <v>406</v>
      </c>
      <c r="Q79" s="57"/>
      <c r="R79" s="57"/>
      <c r="S79" s="57"/>
      <c r="T79" s="24"/>
      <c r="U79" s="24"/>
    </row>
    <row r="80" spans="1:21" ht="26.25" customHeight="1" x14ac:dyDescent="0.25">
      <c r="A80" s="66"/>
      <c r="B80" s="54" t="s">
        <v>602</v>
      </c>
      <c r="C80" s="65" t="s">
        <v>126</v>
      </c>
      <c r="D80" s="60" t="s">
        <v>75</v>
      </c>
      <c r="E80" s="60" t="s">
        <v>176</v>
      </c>
      <c r="F80" s="63" t="s">
        <v>178</v>
      </c>
      <c r="G80" s="62" t="s">
        <v>382</v>
      </c>
      <c r="H80" s="63" t="s">
        <v>188</v>
      </c>
      <c r="I80" s="60" t="s">
        <v>249</v>
      </c>
      <c r="J80" s="59" t="s">
        <v>310</v>
      </c>
      <c r="K80" s="61" t="str">
        <f>+CONCATENATE(D73," ",E80," ",F80," ",G80," ",H80," ",I80)</f>
        <v>Yo como administrador necesito incluir en las etiquetas el Shipping Mark; número consecutivo de caja; código de barras y código QR con acceso a datos de la carga para poder facilitar la identificación y consulta rápida de la información de cada caja.</v>
      </c>
      <c r="L80" s="60" t="s">
        <v>771</v>
      </c>
      <c r="M80" s="72" t="s">
        <v>680</v>
      </c>
      <c r="N80" s="72" t="s">
        <v>681</v>
      </c>
      <c r="O80" s="25" t="s">
        <v>536</v>
      </c>
      <c r="P80" s="33" t="s">
        <v>675</v>
      </c>
      <c r="Q80" s="55" t="s">
        <v>844</v>
      </c>
      <c r="R80" s="55" t="s">
        <v>845</v>
      </c>
      <c r="S80" s="55" t="s">
        <v>846</v>
      </c>
      <c r="T80" s="24"/>
      <c r="U80" s="24"/>
    </row>
    <row r="81" spans="1:21" ht="25.5" x14ac:dyDescent="0.25">
      <c r="A81" s="66"/>
      <c r="B81" s="54"/>
      <c r="C81" s="65"/>
      <c r="D81" s="60"/>
      <c r="E81" s="60"/>
      <c r="F81" s="63"/>
      <c r="G81" s="62"/>
      <c r="H81" s="63"/>
      <c r="I81" s="60"/>
      <c r="J81" s="59"/>
      <c r="K81" s="61"/>
      <c r="L81" s="60"/>
      <c r="M81" s="72"/>
      <c r="N81" s="72"/>
      <c r="O81" s="25" t="s">
        <v>537</v>
      </c>
      <c r="P81" s="33" t="s">
        <v>676</v>
      </c>
      <c r="Q81" s="56"/>
      <c r="R81" s="56"/>
      <c r="S81" s="56"/>
      <c r="T81" s="24"/>
      <c r="U81" s="24"/>
    </row>
    <row r="82" spans="1:21" ht="25.5" x14ac:dyDescent="0.25">
      <c r="A82" s="66"/>
      <c r="B82" s="54"/>
      <c r="C82" s="65"/>
      <c r="D82" s="60"/>
      <c r="E82" s="60"/>
      <c r="F82" s="63"/>
      <c r="G82" s="62"/>
      <c r="H82" s="63"/>
      <c r="I82" s="60"/>
      <c r="J82" s="59"/>
      <c r="K82" s="61"/>
      <c r="L82" s="60"/>
      <c r="M82" s="72"/>
      <c r="N82" s="72"/>
      <c r="O82" s="25" t="s">
        <v>609</v>
      </c>
      <c r="P82" s="33" t="s">
        <v>677</v>
      </c>
      <c r="Q82" s="57"/>
      <c r="R82" s="57"/>
      <c r="S82" s="57"/>
      <c r="T82" s="24"/>
      <c r="U82" s="24"/>
    </row>
    <row r="83" spans="1:21" ht="38.25" customHeight="1" x14ac:dyDescent="0.25">
      <c r="A83" s="66"/>
      <c r="B83" s="54" t="s">
        <v>603</v>
      </c>
      <c r="C83" s="65" t="s">
        <v>606</v>
      </c>
      <c r="D83" s="60" t="s">
        <v>75</v>
      </c>
      <c r="E83" s="60" t="s">
        <v>176</v>
      </c>
      <c r="F83" s="63" t="s">
        <v>178</v>
      </c>
      <c r="G83" s="62" t="s">
        <v>247</v>
      </c>
      <c r="H83" s="63" t="s">
        <v>188</v>
      </c>
      <c r="I83" s="60" t="s">
        <v>213</v>
      </c>
      <c r="J83" s="59" t="s">
        <v>311</v>
      </c>
      <c r="K83" s="61" t="str">
        <f>+CONCATENATE(D80," ",E83," ",F83," ",G83," ",H83," ",I83)</f>
        <v>Yo como administrador necesito dividir una carga en caso de que supere la capacidad de carga del contenedor para poder optimizar el espacio y cumplir con las restricciones de carga de los contenedores.</v>
      </c>
      <c r="L83" s="60" t="s">
        <v>770</v>
      </c>
      <c r="M83" s="60" t="s">
        <v>678</v>
      </c>
      <c r="N83" s="60" t="s">
        <v>679</v>
      </c>
      <c r="O83" s="25" t="s">
        <v>538</v>
      </c>
      <c r="P83" s="33" t="s">
        <v>424</v>
      </c>
      <c r="Q83" s="55" t="s">
        <v>838</v>
      </c>
      <c r="R83" s="55" t="s">
        <v>847</v>
      </c>
      <c r="S83" s="55" t="s">
        <v>848</v>
      </c>
      <c r="T83" s="24"/>
      <c r="U83" s="24"/>
    </row>
    <row r="84" spans="1:21" x14ac:dyDescent="0.25">
      <c r="A84" s="66"/>
      <c r="B84" s="54"/>
      <c r="C84" s="65"/>
      <c r="D84" s="60"/>
      <c r="E84" s="60"/>
      <c r="F84" s="63"/>
      <c r="G84" s="62"/>
      <c r="H84" s="63"/>
      <c r="I84" s="60"/>
      <c r="J84" s="59"/>
      <c r="K84" s="61"/>
      <c r="L84" s="60"/>
      <c r="M84" s="60"/>
      <c r="N84" s="60"/>
      <c r="O84" s="25" t="s">
        <v>539</v>
      </c>
      <c r="P84" s="33" t="s">
        <v>425</v>
      </c>
      <c r="Q84" s="56"/>
      <c r="R84" s="56"/>
      <c r="S84" s="56"/>
      <c r="T84" s="24"/>
      <c r="U84" s="24"/>
    </row>
    <row r="85" spans="1:21" ht="38.25" x14ac:dyDescent="0.25">
      <c r="A85" s="66"/>
      <c r="B85" s="54"/>
      <c r="C85" s="65"/>
      <c r="D85" s="60"/>
      <c r="E85" s="60"/>
      <c r="F85" s="63"/>
      <c r="G85" s="62"/>
      <c r="H85" s="63"/>
      <c r="I85" s="60"/>
      <c r="J85" s="59"/>
      <c r="K85" s="61"/>
      <c r="L85" s="60"/>
      <c r="M85" s="60"/>
      <c r="N85" s="60"/>
      <c r="O85" s="25" t="s">
        <v>610</v>
      </c>
      <c r="P85" s="33" t="s">
        <v>426</v>
      </c>
      <c r="Q85" s="56"/>
      <c r="R85" s="56"/>
      <c r="S85" s="56"/>
      <c r="T85" s="24"/>
      <c r="U85" s="24"/>
    </row>
    <row r="86" spans="1:21" ht="25.5" x14ac:dyDescent="0.25">
      <c r="A86" s="66"/>
      <c r="B86" s="54"/>
      <c r="C86" s="65"/>
      <c r="D86" s="60"/>
      <c r="E86" s="60"/>
      <c r="F86" s="63"/>
      <c r="G86" s="62"/>
      <c r="H86" s="63"/>
      <c r="I86" s="60"/>
      <c r="J86" s="59"/>
      <c r="K86" s="61"/>
      <c r="L86" s="60"/>
      <c r="M86" s="60"/>
      <c r="N86" s="60"/>
      <c r="O86" s="25" t="s">
        <v>611</v>
      </c>
      <c r="P86" s="33" t="s">
        <v>427</v>
      </c>
      <c r="Q86" s="56"/>
      <c r="R86" s="56"/>
      <c r="S86" s="56"/>
      <c r="T86" s="24"/>
      <c r="U86" s="24"/>
    </row>
    <row r="87" spans="1:21" ht="38.25" x14ac:dyDescent="0.25">
      <c r="A87" s="66"/>
      <c r="B87" s="54"/>
      <c r="C87" s="65"/>
      <c r="D87" s="60"/>
      <c r="E87" s="60"/>
      <c r="F87" s="63"/>
      <c r="G87" s="62"/>
      <c r="H87" s="63"/>
      <c r="I87" s="60"/>
      <c r="J87" s="59"/>
      <c r="K87" s="61"/>
      <c r="L87" s="60"/>
      <c r="M87" s="60"/>
      <c r="N87" s="60"/>
      <c r="O87" s="25" t="s">
        <v>612</v>
      </c>
      <c r="P87" s="33" t="s">
        <v>428</v>
      </c>
      <c r="Q87" s="56"/>
      <c r="R87" s="56"/>
      <c r="S87" s="56"/>
      <c r="T87" s="24"/>
      <c r="U87" s="24"/>
    </row>
    <row r="88" spans="1:21" ht="25.5" x14ac:dyDescent="0.25">
      <c r="A88" s="66"/>
      <c r="B88" s="54"/>
      <c r="C88" s="65"/>
      <c r="D88" s="60"/>
      <c r="E88" s="60"/>
      <c r="F88" s="63"/>
      <c r="G88" s="62"/>
      <c r="H88" s="63"/>
      <c r="I88" s="60"/>
      <c r="J88" s="59"/>
      <c r="K88" s="61"/>
      <c r="L88" s="60"/>
      <c r="M88" s="60"/>
      <c r="N88" s="60"/>
      <c r="O88" s="25" t="s">
        <v>712</v>
      </c>
      <c r="P88" s="33" t="s">
        <v>429</v>
      </c>
      <c r="Q88" s="56"/>
      <c r="R88" s="56"/>
      <c r="S88" s="56"/>
      <c r="T88" s="24"/>
      <c r="U88" s="24"/>
    </row>
    <row r="89" spans="1:21" x14ac:dyDescent="0.25">
      <c r="A89" s="66"/>
      <c r="B89" s="54"/>
      <c r="C89" s="65"/>
      <c r="D89" s="60"/>
      <c r="E89" s="60"/>
      <c r="F89" s="63"/>
      <c r="G89" s="62"/>
      <c r="H89" s="63"/>
      <c r="I89" s="60"/>
      <c r="J89" s="59"/>
      <c r="K89" s="61"/>
      <c r="L89" s="60"/>
      <c r="M89" s="60"/>
      <c r="N89" s="60"/>
      <c r="O89" s="25" t="s">
        <v>713</v>
      </c>
      <c r="P89" s="33" t="s">
        <v>430</v>
      </c>
      <c r="Q89" s="56"/>
      <c r="R89" s="56"/>
      <c r="S89" s="56"/>
      <c r="T89" s="24"/>
      <c r="U89" s="24"/>
    </row>
    <row r="90" spans="1:21" ht="25.5" x14ac:dyDescent="0.25">
      <c r="A90" s="66"/>
      <c r="B90" s="54"/>
      <c r="C90" s="65"/>
      <c r="D90" s="60"/>
      <c r="E90" s="60"/>
      <c r="F90" s="63"/>
      <c r="G90" s="62"/>
      <c r="H90" s="63"/>
      <c r="I90" s="60"/>
      <c r="J90" s="59"/>
      <c r="K90" s="61"/>
      <c r="L90" s="60"/>
      <c r="M90" s="60"/>
      <c r="N90" s="60"/>
      <c r="O90" s="25" t="s">
        <v>714</v>
      </c>
      <c r="P90" s="33" t="s">
        <v>431</v>
      </c>
      <c r="Q90" s="57"/>
      <c r="R90" s="57"/>
      <c r="S90" s="57"/>
      <c r="T90" s="24"/>
      <c r="U90" s="24"/>
    </row>
    <row r="91" spans="1:21" ht="75" customHeight="1" x14ac:dyDescent="0.25">
      <c r="A91" s="66"/>
      <c r="B91" s="54"/>
      <c r="C91" s="65"/>
      <c r="D91" s="60" t="s">
        <v>75</v>
      </c>
      <c r="E91" s="60" t="s">
        <v>176</v>
      </c>
      <c r="F91" s="63" t="s">
        <v>178</v>
      </c>
      <c r="G91" s="62" t="s">
        <v>214</v>
      </c>
      <c r="H91" s="63" t="s">
        <v>188</v>
      </c>
      <c r="I91" s="60" t="s">
        <v>215</v>
      </c>
      <c r="J91" s="59" t="s">
        <v>312</v>
      </c>
      <c r="K91" s="61" t="str">
        <f>+CONCATENATE(D83," ",E91," ",F91," ",G91," ",H91," ",I91)</f>
        <v>Yo como administrador necesito imprimir recibos dobles para poder tener documentación adecuada para el seguimiento y control de las partes de una carga dividida.</v>
      </c>
      <c r="L91" s="60" t="s">
        <v>770</v>
      </c>
      <c r="M91" s="60" t="s">
        <v>724</v>
      </c>
      <c r="N91" s="60" t="s">
        <v>725</v>
      </c>
      <c r="O91" s="25" t="s">
        <v>540</v>
      </c>
      <c r="P91" s="33" t="s">
        <v>432</v>
      </c>
      <c r="Q91" s="55" t="s">
        <v>838</v>
      </c>
      <c r="R91" s="55" t="s">
        <v>849</v>
      </c>
      <c r="S91" s="55" t="s">
        <v>850</v>
      </c>
      <c r="T91" s="24"/>
      <c r="U91" s="24"/>
    </row>
    <row r="92" spans="1:21" ht="25.5" x14ac:dyDescent="0.25">
      <c r="A92" s="66"/>
      <c r="B92" s="54"/>
      <c r="C92" s="65"/>
      <c r="D92" s="60"/>
      <c r="E92" s="60"/>
      <c r="F92" s="63"/>
      <c r="G92" s="62"/>
      <c r="H92" s="63"/>
      <c r="I92" s="60"/>
      <c r="J92" s="59"/>
      <c r="K92" s="61"/>
      <c r="L92" s="60"/>
      <c r="M92" s="60"/>
      <c r="N92" s="60"/>
      <c r="O92" s="25" t="s">
        <v>541</v>
      </c>
      <c r="P92" s="33" t="s">
        <v>433</v>
      </c>
      <c r="Q92" s="56"/>
      <c r="R92" s="56"/>
      <c r="S92" s="56"/>
      <c r="T92" s="24"/>
      <c r="U92" s="24"/>
    </row>
    <row r="93" spans="1:21" ht="25.5" x14ac:dyDescent="0.25">
      <c r="A93" s="66"/>
      <c r="B93" s="54"/>
      <c r="C93" s="65"/>
      <c r="D93" s="60"/>
      <c r="E93" s="60"/>
      <c r="F93" s="63"/>
      <c r="G93" s="62"/>
      <c r="H93" s="63"/>
      <c r="I93" s="60"/>
      <c r="J93" s="59"/>
      <c r="K93" s="61"/>
      <c r="L93" s="60"/>
      <c r="M93" s="60"/>
      <c r="N93" s="60"/>
      <c r="O93" s="25" t="s">
        <v>613</v>
      </c>
      <c r="P93" s="33" t="s">
        <v>434</v>
      </c>
      <c r="Q93" s="56"/>
      <c r="R93" s="56"/>
      <c r="S93" s="56"/>
      <c r="T93" s="24"/>
      <c r="U93" s="24"/>
    </row>
    <row r="94" spans="1:21" ht="25.5" x14ac:dyDescent="0.25">
      <c r="A94" s="66"/>
      <c r="B94" s="54"/>
      <c r="C94" s="65"/>
      <c r="D94" s="60"/>
      <c r="E94" s="60"/>
      <c r="F94" s="63"/>
      <c r="G94" s="62"/>
      <c r="H94" s="63"/>
      <c r="I94" s="60"/>
      <c r="J94" s="59"/>
      <c r="K94" s="61"/>
      <c r="L94" s="60"/>
      <c r="M94" s="60"/>
      <c r="N94" s="60"/>
      <c r="O94" s="25" t="s">
        <v>614</v>
      </c>
      <c r="P94" s="33" t="s">
        <v>435</v>
      </c>
      <c r="Q94" s="56"/>
      <c r="R94" s="56"/>
      <c r="S94" s="56"/>
      <c r="T94" s="24"/>
      <c r="U94" s="24"/>
    </row>
    <row r="95" spans="1:21" x14ac:dyDescent="0.25">
      <c r="A95" s="66"/>
      <c r="B95" s="54"/>
      <c r="C95" s="65"/>
      <c r="D95" s="60"/>
      <c r="E95" s="60"/>
      <c r="F95" s="63"/>
      <c r="G95" s="62"/>
      <c r="H95" s="63"/>
      <c r="I95" s="60"/>
      <c r="J95" s="59"/>
      <c r="K95" s="61"/>
      <c r="L95" s="60"/>
      <c r="M95" s="60"/>
      <c r="N95" s="60"/>
      <c r="O95" s="25" t="s">
        <v>615</v>
      </c>
      <c r="P95" s="33" t="s">
        <v>436</v>
      </c>
      <c r="Q95" s="57"/>
      <c r="R95" s="57"/>
      <c r="S95" s="57"/>
      <c r="T95" s="24"/>
      <c r="U95" s="24"/>
    </row>
    <row r="96" spans="1:21" ht="90" customHeight="1" x14ac:dyDescent="0.25">
      <c r="A96" s="66"/>
      <c r="B96" s="54"/>
      <c r="C96" s="65"/>
      <c r="D96" s="60" t="s">
        <v>75</v>
      </c>
      <c r="E96" s="60" t="s">
        <v>176</v>
      </c>
      <c r="F96" s="63" t="s">
        <v>178</v>
      </c>
      <c r="G96" s="62" t="s">
        <v>216</v>
      </c>
      <c r="H96" s="63" t="s">
        <v>188</v>
      </c>
      <c r="I96" s="60" t="s">
        <v>280</v>
      </c>
      <c r="J96" s="59" t="s">
        <v>313</v>
      </c>
      <c r="K96" s="61" t="str">
        <f>+CONCATENATE(D91," ",E96," ",F96," ",G96," ",H96," ",I96)</f>
        <v>Yo como administrador necesito reintegrar una carga a inventario para poder liberar el area de despacho en caso de ser una carga dividida.</v>
      </c>
      <c r="L96" s="60" t="s">
        <v>770</v>
      </c>
      <c r="M96" s="60" t="s">
        <v>726</v>
      </c>
      <c r="N96" s="60" t="s">
        <v>727</v>
      </c>
      <c r="O96" s="25" t="s">
        <v>542</v>
      </c>
      <c r="P96" s="33" t="s">
        <v>437</v>
      </c>
      <c r="Q96" s="55" t="s">
        <v>838</v>
      </c>
      <c r="R96" s="55" t="s">
        <v>851</v>
      </c>
      <c r="S96" s="55" t="s">
        <v>852</v>
      </c>
      <c r="T96" s="24"/>
      <c r="U96" s="24"/>
    </row>
    <row r="97" spans="1:21" ht="25.5" x14ac:dyDescent="0.25">
      <c r="A97" s="66"/>
      <c r="B97" s="54"/>
      <c r="C97" s="65"/>
      <c r="D97" s="60"/>
      <c r="E97" s="60"/>
      <c r="F97" s="63"/>
      <c r="G97" s="62"/>
      <c r="H97" s="63"/>
      <c r="I97" s="60"/>
      <c r="J97" s="59"/>
      <c r="K97" s="61"/>
      <c r="L97" s="60"/>
      <c r="M97" s="60"/>
      <c r="N97" s="60"/>
      <c r="O97" s="25" t="s">
        <v>543</v>
      </c>
      <c r="P97" s="33" t="s">
        <v>438</v>
      </c>
      <c r="Q97" s="56"/>
      <c r="R97" s="56"/>
      <c r="S97" s="56"/>
      <c r="T97" s="24"/>
      <c r="U97" s="24"/>
    </row>
    <row r="98" spans="1:21" ht="50.25" customHeight="1" x14ac:dyDescent="0.25">
      <c r="A98" s="66"/>
      <c r="B98" s="54"/>
      <c r="C98" s="65"/>
      <c r="D98" s="60"/>
      <c r="E98" s="60"/>
      <c r="F98" s="63"/>
      <c r="G98" s="62"/>
      <c r="H98" s="63"/>
      <c r="I98" s="60"/>
      <c r="J98" s="59"/>
      <c r="K98" s="61"/>
      <c r="L98" s="60"/>
      <c r="M98" s="60"/>
      <c r="N98" s="60"/>
      <c r="O98" s="25" t="s">
        <v>715</v>
      </c>
      <c r="P98" s="33" t="s">
        <v>439</v>
      </c>
      <c r="Q98" s="56"/>
      <c r="R98" s="56"/>
      <c r="S98" s="56"/>
      <c r="T98" s="24"/>
      <c r="U98" s="24"/>
    </row>
    <row r="99" spans="1:21" ht="25.5" x14ac:dyDescent="0.25">
      <c r="A99" s="66"/>
      <c r="B99" s="54"/>
      <c r="C99" s="65"/>
      <c r="D99" s="60"/>
      <c r="E99" s="60"/>
      <c r="F99" s="63"/>
      <c r="G99" s="62"/>
      <c r="H99" s="63"/>
      <c r="I99" s="60"/>
      <c r="J99" s="59"/>
      <c r="K99" s="61"/>
      <c r="L99" s="60"/>
      <c r="M99" s="60"/>
      <c r="N99" s="60"/>
      <c r="O99" s="25" t="s">
        <v>716</v>
      </c>
      <c r="P99" s="33" t="s">
        <v>440</v>
      </c>
      <c r="Q99" s="56"/>
      <c r="R99" s="56"/>
      <c r="S99" s="56"/>
      <c r="T99" s="24"/>
      <c r="U99" s="24"/>
    </row>
    <row r="100" spans="1:21" ht="38.25" x14ac:dyDescent="0.25">
      <c r="A100" s="66"/>
      <c r="B100" s="54"/>
      <c r="C100" s="65"/>
      <c r="D100" s="60"/>
      <c r="E100" s="60"/>
      <c r="F100" s="63"/>
      <c r="G100" s="62"/>
      <c r="H100" s="63"/>
      <c r="I100" s="60"/>
      <c r="J100" s="59"/>
      <c r="K100" s="61"/>
      <c r="L100" s="60"/>
      <c r="M100" s="60"/>
      <c r="N100" s="60"/>
      <c r="O100" s="25" t="s">
        <v>717</v>
      </c>
      <c r="P100" s="33" t="s">
        <v>491</v>
      </c>
      <c r="Q100" s="56"/>
      <c r="R100" s="56"/>
      <c r="S100" s="56"/>
      <c r="T100" s="24"/>
      <c r="U100" s="24"/>
    </row>
    <row r="101" spans="1:21" ht="25.5" x14ac:dyDescent="0.25">
      <c r="A101" s="66"/>
      <c r="B101" s="54"/>
      <c r="C101" s="65"/>
      <c r="D101" s="60"/>
      <c r="E101" s="60"/>
      <c r="F101" s="63"/>
      <c r="G101" s="62"/>
      <c r="H101" s="63"/>
      <c r="I101" s="60"/>
      <c r="J101" s="59"/>
      <c r="K101" s="61"/>
      <c r="L101" s="60"/>
      <c r="M101" s="60"/>
      <c r="N101" s="60"/>
      <c r="O101" s="25" t="s">
        <v>718</v>
      </c>
      <c r="P101" s="33" t="s">
        <v>441</v>
      </c>
      <c r="Q101" s="56"/>
      <c r="R101" s="56"/>
      <c r="S101" s="56"/>
      <c r="T101" s="24"/>
      <c r="U101" s="24"/>
    </row>
    <row r="102" spans="1:21" x14ac:dyDescent="0.25">
      <c r="A102" s="66"/>
      <c r="B102" s="54"/>
      <c r="C102" s="65"/>
      <c r="D102" s="60"/>
      <c r="E102" s="60"/>
      <c r="F102" s="63"/>
      <c r="G102" s="62"/>
      <c r="H102" s="63"/>
      <c r="I102" s="60"/>
      <c r="J102" s="59"/>
      <c r="K102" s="61"/>
      <c r="L102" s="60"/>
      <c r="M102" s="60"/>
      <c r="N102" s="60"/>
      <c r="O102" s="25" t="s">
        <v>719</v>
      </c>
      <c r="P102" s="33" t="s">
        <v>442</v>
      </c>
      <c r="Q102" s="57"/>
      <c r="R102" s="57"/>
      <c r="S102" s="57"/>
      <c r="T102" s="24"/>
      <c r="U102" s="24"/>
    </row>
    <row r="103" spans="1:21" ht="25.5" customHeight="1" x14ac:dyDescent="0.25">
      <c r="A103" s="66"/>
      <c r="B103" s="54" t="s">
        <v>604</v>
      </c>
      <c r="C103" s="65" t="s">
        <v>128</v>
      </c>
      <c r="D103" s="60" t="s">
        <v>75</v>
      </c>
      <c r="E103" s="60" t="s">
        <v>176</v>
      </c>
      <c r="F103" s="63" t="s">
        <v>178</v>
      </c>
      <c r="G103" s="62" t="s">
        <v>383</v>
      </c>
      <c r="H103" s="63" t="s">
        <v>188</v>
      </c>
      <c r="I103" s="60" t="s">
        <v>232</v>
      </c>
      <c r="J103" s="59" t="s">
        <v>314</v>
      </c>
      <c r="K103" s="61" t="str">
        <f>+CONCATENATE(D96," ",E103," ",F103," ",G103," ",H103," ",I103)</f>
        <v>Yo como administrador necesito crear reportes con información operativa (movimientos; cubicajes; cargas; etc) para poder analizar datos clave del sistema para la toma de decisiones y la mejora continua.</v>
      </c>
      <c r="L103" s="60" t="s">
        <v>775</v>
      </c>
      <c r="M103" s="60" t="s">
        <v>728</v>
      </c>
      <c r="N103" s="60" t="s">
        <v>729</v>
      </c>
      <c r="O103" s="25" t="s">
        <v>544</v>
      </c>
      <c r="P103" s="33" t="s">
        <v>354</v>
      </c>
      <c r="Q103" s="55" t="s">
        <v>853</v>
      </c>
      <c r="R103" s="55" t="s">
        <v>854</v>
      </c>
      <c r="S103" s="55" t="s">
        <v>855</v>
      </c>
      <c r="T103" s="24"/>
      <c r="U103" s="24"/>
    </row>
    <row r="104" spans="1:21" ht="38.25" x14ac:dyDescent="0.25">
      <c r="A104" s="66"/>
      <c r="B104" s="54"/>
      <c r="C104" s="65"/>
      <c r="D104" s="60"/>
      <c r="E104" s="60"/>
      <c r="F104" s="63"/>
      <c r="G104" s="62"/>
      <c r="H104" s="63"/>
      <c r="I104" s="60"/>
      <c r="J104" s="59"/>
      <c r="K104" s="61"/>
      <c r="L104" s="60"/>
      <c r="M104" s="60"/>
      <c r="N104" s="60"/>
      <c r="O104" s="25" t="s">
        <v>545</v>
      </c>
      <c r="P104" s="33" t="s">
        <v>407</v>
      </c>
      <c r="Q104" s="57"/>
      <c r="R104" s="57"/>
      <c r="S104" s="57"/>
      <c r="T104" s="24"/>
      <c r="U104" s="24"/>
    </row>
    <row r="105" spans="1:21" ht="75" customHeight="1" x14ac:dyDescent="0.25">
      <c r="A105" s="66"/>
      <c r="B105" s="54"/>
      <c r="C105" s="65"/>
      <c r="D105" s="60" t="s">
        <v>75</v>
      </c>
      <c r="E105" s="60" t="s">
        <v>176</v>
      </c>
      <c r="F105" s="63" t="s">
        <v>178</v>
      </c>
      <c r="G105" s="62" t="s">
        <v>276</v>
      </c>
      <c r="H105" s="63" t="s">
        <v>188</v>
      </c>
      <c r="I105" s="60" t="s">
        <v>233</v>
      </c>
      <c r="J105" s="59" t="s">
        <v>315</v>
      </c>
      <c r="K105" s="61" t="str">
        <f>+CONCATENATE(D103," ",E105," ",F105," ",G105," ",H105," ",I105)</f>
        <v>Yo como administrador necesito elegir el tipo de reporte para poder seleccionar la información específica que necesito analizar.</v>
      </c>
      <c r="L105" s="60" t="s">
        <v>775</v>
      </c>
      <c r="M105" s="60" t="s">
        <v>728</v>
      </c>
      <c r="N105" s="60" t="s">
        <v>729</v>
      </c>
      <c r="O105" s="25" t="s">
        <v>546</v>
      </c>
      <c r="P105" s="33" t="s">
        <v>408</v>
      </c>
      <c r="Q105" s="55" t="s">
        <v>853</v>
      </c>
      <c r="R105" s="55" t="s">
        <v>854</v>
      </c>
      <c r="S105" s="55" t="s">
        <v>855</v>
      </c>
      <c r="T105" s="24"/>
      <c r="U105" s="24"/>
    </row>
    <row r="106" spans="1:21" x14ac:dyDescent="0.25">
      <c r="A106" s="66"/>
      <c r="B106" s="54"/>
      <c r="C106" s="65"/>
      <c r="D106" s="60"/>
      <c r="E106" s="60"/>
      <c r="F106" s="63"/>
      <c r="G106" s="62"/>
      <c r="H106" s="63"/>
      <c r="I106" s="60"/>
      <c r="J106" s="59"/>
      <c r="K106" s="61"/>
      <c r="L106" s="60"/>
      <c r="M106" s="60"/>
      <c r="N106" s="60"/>
      <c r="O106" s="25" t="s">
        <v>547</v>
      </c>
      <c r="P106" s="33" t="s">
        <v>355</v>
      </c>
      <c r="Q106" s="57"/>
      <c r="R106" s="57"/>
      <c r="S106" s="57"/>
      <c r="T106" s="24"/>
      <c r="U106" s="24"/>
    </row>
    <row r="107" spans="1:21" ht="75" customHeight="1" x14ac:dyDescent="0.25">
      <c r="A107" s="66"/>
      <c r="B107" s="54"/>
      <c r="C107" s="65"/>
      <c r="D107" s="60" t="s">
        <v>75</v>
      </c>
      <c r="E107" s="60" t="s">
        <v>176</v>
      </c>
      <c r="F107" s="63" t="s">
        <v>178</v>
      </c>
      <c r="G107" s="62" t="s">
        <v>277</v>
      </c>
      <c r="H107" s="63" t="s">
        <v>188</v>
      </c>
      <c r="I107" s="60" t="s">
        <v>384</v>
      </c>
      <c r="J107" s="59" t="s">
        <v>316</v>
      </c>
      <c r="K107" s="61" t="str">
        <f>+CONCATENATE(D105," ",E107," ",F107," ",G107," ",H107," ",I107)</f>
        <v>Yo como administrador necesito descargar el reporte generado para poder tener una copia del análisis de datos para su revisión; distribución o archivo.</v>
      </c>
      <c r="L107" s="60" t="s">
        <v>775</v>
      </c>
      <c r="M107" s="60" t="s">
        <v>728</v>
      </c>
      <c r="N107" s="60" t="s">
        <v>729</v>
      </c>
      <c r="O107" s="25" t="s">
        <v>548</v>
      </c>
      <c r="P107" s="33" t="s">
        <v>409</v>
      </c>
      <c r="Q107" s="55" t="s">
        <v>853</v>
      </c>
      <c r="R107" s="55" t="s">
        <v>854</v>
      </c>
      <c r="S107" s="55" t="s">
        <v>855</v>
      </c>
      <c r="T107" s="24"/>
      <c r="U107" s="24"/>
    </row>
    <row r="108" spans="1:21" ht="25.5" customHeight="1" x14ac:dyDescent="0.25">
      <c r="A108" s="66"/>
      <c r="B108" s="54"/>
      <c r="C108" s="65"/>
      <c r="D108" s="60"/>
      <c r="E108" s="60"/>
      <c r="F108" s="63"/>
      <c r="G108" s="62"/>
      <c r="H108" s="63"/>
      <c r="I108" s="60"/>
      <c r="J108" s="59"/>
      <c r="K108" s="61"/>
      <c r="L108" s="60"/>
      <c r="M108" s="60"/>
      <c r="N108" s="60"/>
      <c r="O108" s="25" t="s">
        <v>549</v>
      </c>
      <c r="P108" s="33" t="s">
        <v>410</v>
      </c>
      <c r="Q108" s="57"/>
      <c r="R108" s="57"/>
      <c r="S108" s="57"/>
      <c r="T108" s="24"/>
      <c r="U108" s="24"/>
    </row>
    <row r="109" spans="1:21" ht="42" customHeight="1" x14ac:dyDescent="0.25">
      <c r="A109" s="66"/>
      <c r="B109" s="54"/>
      <c r="C109" s="65"/>
      <c r="D109" s="60" t="s">
        <v>75</v>
      </c>
      <c r="E109" s="60" t="s">
        <v>176</v>
      </c>
      <c r="F109" s="63" t="s">
        <v>178</v>
      </c>
      <c r="G109" s="62" t="s">
        <v>278</v>
      </c>
      <c r="H109" s="63" t="s">
        <v>188</v>
      </c>
      <c r="I109" s="60" t="s">
        <v>234</v>
      </c>
      <c r="J109" s="59" t="s">
        <v>317</v>
      </c>
      <c r="K109" s="61" t="str">
        <f>+CONCATENATE(D107," ",E109," ",F109," ",G109," ",H109," ",I109)</f>
        <v>Yo como administrador necesito elegir el formato del reporte que deseo descargar para poder obtener el reporte en un formato compatible con mis herramientas o necesidades.</v>
      </c>
      <c r="L109" s="60" t="s">
        <v>775</v>
      </c>
      <c r="M109" s="60" t="s">
        <v>728</v>
      </c>
      <c r="N109" s="60" t="s">
        <v>729</v>
      </c>
      <c r="O109" s="25" t="s">
        <v>550</v>
      </c>
      <c r="P109" s="33" t="s">
        <v>411</v>
      </c>
      <c r="Q109" s="55" t="s">
        <v>853</v>
      </c>
      <c r="R109" s="55" t="s">
        <v>854</v>
      </c>
      <c r="S109" s="55" t="s">
        <v>855</v>
      </c>
      <c r="T109" s="24"/>
      <c r="U109" s="24"/>
    </row>
    <row r="110" spans="1:21" ht="15" customHeight="1" x14ac:dyDescent="0.25">
      <c r="A110" s="66"/>
      <c r="B110" s="54"/>
      <c r="C110" s="65"/>
      <c r="D110" s="60"/>
      <c r="E110" s="60"/>
      <c r="F110" s="63"/>
      <c r="G110" s="62"/>
      <c r="H110" s="63"/>
      <c r="I110" s="60"/>
      <c r="J110" s="59"/>
      <c r="K110" s="61"/>
      <c r="L110" s="60"/>
      <c r="M110" s="60"/>
      <c r="N110" s="60"/>
      <c r="O110" s="25" t="s">
        <v>551</v>
      </c>
      <c r="P110" s="33" t="s">
        <v>356</v>
      </c>
      <c r="Q110" s="57"/>
      <c r="R110" s="57"/>
      <c r="S110" s="57"/>
      <c r="T110" s="24"/>
      <c r="U110" s="24"/>
    </row>
    <row r="111" spans="1:21" ht="105" customHeight="1" x14ac:dyDescent="0.25">
      <c r="A111" s="66"/>
      <c r="B111" s="54"/>
      <c r="C111" s="65" t="s">
        <v>130</v>
      </c>
      <c r="D111" s="60" t="s">
        <v>75</v>
      </c>
      <c r="E111" s="60" t="s">
        <v>176</v>
      </c>
      <c r="F111" s="63" t="s">
        <v>178</v>
      </c>
      <c r="G111" s="62" t="s">
        <v>235</v>
      </c>
      <c r="H111" s="63" t="s">
        <v>188</v>
      </c>
      <c r="I111" s="63" t="s">
        <v>250</v>
      </c>
      <c r="J111" s="59" t="s">
        <v>318</v>
      </c>
      <c r="K111" s="61" t="str">
        <f>+CONCATENATE(D109," ",E111," ",F111," ",G111," ",H111," ",I111)</f>
        <v>Yo como administrador necesito contar con un dashboard personalizado que muestre información relevante para mi rol para poder tener una vista rápida y útil de los datos clave.</v>
      </c>
      <c r="L111" s="60" t="s">
        <v>772</v>
      </c>
      <c r="M111" s="60" t="s">
        <v>730</v>
      </c>
      <c r="N111" s="60" t="s">
        <v>731</v>
      </c>
      <c r="O111" s="25" t="s">
        <v>552</v>
      </c>
      <c r="P111" s="33" t="s">
        <v>412</v>
      </c>
      <c r="Q111" s="55" t="s">
        <v>856</v>
      </c>
      <c r="R111" s="55" t="s">
        <v>857</v>
      </c>
      <c r="S111" s="55" t="s">
        <v>858</v>
      </c>
      <c r="T111" s="24"/>
      <c r="U111" s="24"/>
    </row>
    <row r="112" spans="1:21" ht="25.5" x14ac:dyDescent="0.25">
      <c r="A112" s="66"/>
      <c r="B112" s="54"/>
      <c r="C112" s="65"/>
      <c r="D112" s="60"/>
      <c r="E112" s="60"/>
      <c r="F112" s="63"/>
      <c r="G112" s="62"/>
      <c r="H112" s="63"/>
      <c r="I112" s="63"/>
      <c r="J112" s="59"/>
      <c r="K112" s="61"/>
      <c r="L112" s="60"/>
      <c r="M112" s="60"/>
      <c r="N112" s="60"/>
      <c r="O112" s="25" t="s">
        <v>553</v>
      </c>
      <c r="P112" s="33" t="s">
        <v>357</v>
      </c>
      <c r="Q112" s="57"/>
      <c r="R112" s="57"/>
      <c r="S112" s="57"/>
      <c r="T112" s="24"/>
      <c r="U112" s="24"/>
    </row>
    <row r="113" spans="1:21" ht="38.25" customHeight="1" x14ac:dyDescent="0.25">
      <c r="A113" s="66"/>
      <c r="B113" s="54" t="s">
        <v>605</v>
      </c>
      <c r="C113" s="65" t="s">
        <v>134</v>
      </c>
      <c r="D113" s="60" t="s">
        <v>75</v>
      </c>
      <c r="E113" s="62" t="s">
        <v>176</v>
      </c>
      <c r="F113" s="62" t="s">
        <v>178</v>
      </c>
      <c r="G113" s="62" t="s">
        <v>236</v>
      </c>
      <c r="H113" s="63" t="s">
        <v>188</v>
      </c>
      <c r="I113" s="62" t="s">
        <v>251</v>
      </c>
      <c r="J113" s="59" t="s">
        <v>319</v>
      </c>
      <c r="K113" s="61" t="str">
        <f>+CONCATENATE(D111," ",E113," ",F113," ",G113," ",H113," ",I113)</f>
        <v>Yo como administrador necesito comparar la cantidad de cajas recibidas con lo detallado en el packing list para poder verificar la exactitud de la recepción en bodega y asegurar la consistencia entre la documentación y la mercancía física recibida.</v>
      </c>
      <c r="L113" s="60" t="s">
        <v>773</v>
      </c>
      <c r="M113" s="60" t="s">
        <v>732</v>
      </c>
      <c r="N113" s="60" t="s">
        <v>733</v>
      </c>
      <c r="O113" s="25" t="s">
        <v>554</v>
      </c>
      <c r="P113" s="33" t="s">
        <v>413</v>
      </c>
      <c r="Q113" s="55" t="s">
        <v>859</v>
      </c>
      <c r="R113" s="55" t="s">
        <v>860</v>
      </c>
      <c r="S113" s="55" t="s">
        <v>861</v>
      </c>
      <c r="T113" s="24"/>
      <c r="U113" s="24"/>
    </row>
    <row r="114" spans="1:21" ht="25.5" x14ac:dyDescent="0.25">
      <c r="A114" s="66"/>
      <c r="B114" s="54"/>
      <c r="C114" s="65"/>
      <c r="D114" s="60"/>
      <c r="E114" s="62"/>
      <c r="F114" s="62"/>
      <c r="G114" s="62"/>
      <c r="H114" s="63"/>
      <c r="I114" s="62"/>
      <c r="J114" s="59"/>
      <c r="K114" s="61"/>
      <c r="L114" s="60"/>
      <c r="M114" s="60"/>
      <c r="N114" s="60"/>
      <c r="O114" s="25" t="s">
        <v>555</v>
      </c>
      <c r="P114" s="33" t="s">
        <v>358</v>
      </c>
      <c r="Q114" s="56"/>
      <c r="R114" s="56"/>
      <c r="S114" s="56"/>
      <c r="T114" s="24"/>
      <c r="U114" s="24"/>
    </row>
    <row r="115" spans="1:21" ht="38.25" x14ac:dyDescent="0.25">
      <c r="A115" s="66"/>
      <c r="B115" s="54"/>
      <c r="C115" s="65"/>
      <c r="D115" s="60"/>
      <c r="E115" s="62"/>
      <c r="F115" s="62"/>
      <c r="G115" s="62"/>
      <c r="H115" s="63"/>
      <c r="I115" s="62"/>
      <c r="J115" s="59"/>
      <c r="K115" s="61"/>
      <c r="L115" s="60"/>
      <c r="M115" s="60"/>
      <c r="N115" s="60"/>
      <c r="O115" s="25" t="s">
        <v>720</v>
      </c>
      <c r="P115" s="33" t="s">
        <v>359</v>
      </c>
      <c r="Q115" s="57"/>
      <c r="R115" s="57"/>
      <c r="S115" s="57"/>
      <c r="T115" s="24"/>
      <c r="U115" s="24"/>
    </row>
    <row r="116" spans="1:21" ht="25.5" customHeight="1" x14ac:dyDescent="0.25">
      <c r="A116" s="54" t="s">
        <v>595</v>
      </c>
      <c r="B116" s="54"/>
      <c r="C116" s="65"/>
      <c r="D116" s="60" t="s">
        <v>75</v>
      </c>
      <c r="E116" s="60" t="s">
        <v>187</v>
      </c>
      <c r="F116" s="63" t="s">
        <v>178</v>
      </c>
      <c r="G116" s="62" t="s">
        <v>243</v>
      </c>
      <c r="H116" s="63" t="s">
        <v>188</v>
      </c>
      <c r="I116" s="60" t="s">
        <v>205</v>
      </c>
      <c r="J116" s="59" t="s">
        <v>320</v>
      </c>
      <c r="K116" s="61" t="str">
        <f>+CONCATENATE(D113," ",E116," ",F116," ",G116," ",H116," ",I116)</f>
        <v>Yo como bodeguero necesito contar las cajas de una carga antes de aprobarla para poder verificar la cantidad física de la mercancía recibida contra la documentación.</v>
      </c>
      <c r="L116" s="60" t="s">
        <v>773</v>
      </c>
      <c r="M116" s="60" t="s">
        <v>734</v>
      </c>
      <c r="N116" s="60" t="s">
        <v>735</v>
      </c>
      <c r="O116" s="25" t="s">
        <v>556</v>
      </c>
      <c r="P116" s="33" t="s">
        <v>414</v>
      </c>
      <c r="Q116" s="55" t="s">
        <v>859</v>
      </c>
      <c r="R116" s="55" t="s">
        <v>862</v>
      </c>
      <c r="S116" s="55" t="s">
        <v>863</v>
      </c>
      <c r="T116" s="24"/>
      <c r="U116" s="24"/>
    </row>
    <row r="117" spans="1:21" ht="25.5" customHeight="1" x14ac:dyDescent="0.25">
      <c r="A117" s="54"/>
      <c r="B117" s="54"/>
      <c r="C117" s="65"/>
      <c r="D117" s="60"/>
      <c r="E117" s="60"/>
      <c r="F117" s="63"/>
      <c r="G117" s="62"/>
      <c r="H117" s="63"/>
      <c r="I117" s="60"/>
      <c r="J117" s="59"/>
      <c r="K117" s="61"/>
      <c r="L117" s="60"/>
      <c r="M117" s="60"/>
      <c r="N117" s="60"/>
      <c r="O117" s="25" t="s">
        <v>557</v>
      </c>
      <c r="P117" s="33" t="s">
        <v>360</v>
      </c>
      <c r="Q117" s="57"/>
      <c r="R117" s="57"/>
      <c r="S117" s="57"/>
      <c r="T117" s="24"/>
      <c r="U117" s="24"/>
    </row>
    <row r="118" spans="1:21" ht="75" customHeight="1" x14ac:dyDescent="0.25">
      <c r="A118" s="54"/>
      <c r="B118" s="54"/>
      <c r="C118" s="65" t="s">
        <v>100</v>
      </c>
      <c r="D118" s="60" t="s">
        <v>75</v>
      </c>
      <c r="E118" s="60" t="s">
        <v>187</v>
      </c>
      <c r="F118" s="63" t="s">
        <v>178</v>
      </c>
      <c r="G118" s="62" t="s">
        <v>206</v>
      </c>
      <c r="H118" s="63" t="s">
        <v>188</v>
      </c>
      <c r="I118" s="60" t="s">
        <v>244</v>
      </c>
      <c r="J118" s="59" t="s">
        <v>321</v>
      </c>
      <c r="K118" s="61" t="str">
        <f>+CONCATENATE(D116," ",E118," ",F118," ",G118," ",H118," ",I118)</f>
        <v>Yo como bodeguero necesito aprobar las cargas recibidas en bodega para poder confirmar la recepción física de la mercancía.</v>
      </c>
      <c r="L118" s="60" t="s">
        <v>773</v>
      </c>
      <c r="M118" s="60" t="s">
        <v>737</v>
      </c>
      <c r="N118" s="60" t="s">
        <v>738</v>
      </c>
      <c r="O118" s="25" t="s">
        <v>558</v>
      </c>
      <c r="P118" s="33" t="s">
        <v>736</v>
      </c>
      <c r="Q118" s="55" t="s">
        <v>859</v>
      </c>
      <c r="R118" s="55" t="s">
        <v>864</v>
      </c>
      <c r="S118" s="55" t="s">
        <v>865</v>
      </c>
      <c r="T118" s="24"/>
      <c r="U118" s="24"/>
    </row>
    <row r="119" spans="1:21" x14ac:dyDescent="0.25">
      <c r="A119" s="54"/>
      <c r="B119" s="54"/>
      <c r="C119" s="65"/>
      <c r="D119" s="60"/>
      <c r="E119" s="60"/>
      <c r="F119" s="63"/>
      <c r="G119" s="62"/>
      <c r="H119" s="63"/>
      <c r="I119" s="60"/>
      <c r="J119" s="59"/>
      <c r="K119" s="61"/>
      <c r="L119" s="60"/>
      <c r="M119" s="60"/>
      <c r="N119" s="60"/>
      <c r="O119" s="25" t="s">
        <v>559</v>
      </c>
      <c r="P119" s="33" t="s">
        <v>361</v>
      </c>
      <c r="Q119" s="56"/>
      <c r="R119" s="56"/>
      <c r="S119" s="56"/>
      <c r="T119" s="24"/>
      <c r="U119" s="24"/>
    </row>
    <row r="120" spans="1:21" ht="25.5" x14ac:dyDescent="0.25">
      <c r="A120" s="54"/>
      <c r="B120" s="54"/>
      <c r="C120" s="65"/>
      <c r="D120" s="60"/>
      <c r="E120" s="60"/>
      <c r="F120" s="63"/>
      <c r="G120" s="62"/>
      <c r="H120" s="63"/>
      <c r="I120" s="60"/>
      <c r="J120" s="59"/>
      <c r="K120" s="61"/>
      <c r="L120" s="60"/>
      <c r="M120" s="60"/>
      <c r="N120" s="60"/>
      <c r="O120" s="25" t="s">
        <v>560</v>
      </c>
      <c r="P120" s="33" t="s">
        <v>415</v>
      </c>
      <c r="Q120" s="57"/>
      <c r="R120" s="57"/>
      <c r="S120" s="57"/>
      <c r="T120" s="24"/>
      <c r="U120" s="24"/>
    </row>
    <row r="121" spans="1:21" ht="75" customHeight="1" x14ac:dyDescent="0.25">
      <c r="A121" s="54"/>
      <c r="B121" s="54"/>
      <c r="C121" s="65"/>
      <c r="D121" s="60" t="s">
        <v>75</v>
      </c>
      <c r="E121" s="60" t="s">
        <v>187</v>
      </c>
      <c r="F121" s="63" t="s">
        <v>178</v>
      </c>
      <c r="G121" s="62" t="s">
        <v>245</v>
      </c>
      <c r="H121" s="63" t="s">
        <v>188</v>
      </c>
      <c r="I121" s="60" t="s">
        <v>207</v>
      </c>
      <c r="J121" s="59" t="s">
        <v>322</v>
      </c>
      <c r="K121" s="64" t="str">
        <f>+CONCATENATE(D118," ",E121," ",F121," ",G121," ",H121," ",I121)</f>
        <v>Yo como bodeguero necesito emitir recibos de mercancía al aprobar una carga para poder tener un registro formal de la mercancía recibida en bodega.</v>
      </c>
      <c r="L121" s="60" t="s">
        <v>773</v>
      </c>
      <c r="M121" s="60" t="s">
        <v>737</v>
      </c>
      <c r="N121" s="60" t="s">
        <v>738</v>
      </c>
      <c r="O121" s="25" t="s">
        <v>561</v>
      </c>
      <c r="P121" s="33" t="s">
        <v>416</v>
      </c>
      <c r="Q121" s="55" t="s">
        <v>859</v>
      </c>
      <c r="R121" s="55" t="s">
        <v>864</v>
      </c>
      <c r="S121" s="55" t="s">
        <v>865</v>
      </c>
      <c r="T121" s="24"/>
      <c r="U121" s="24"/>
    </row>
    <row r="122" spans="1:21" ht="15" customHeight="1" x14ac:dyDescent="0.25">
      <c r="A122" s="54"/>
      <c r="B122" s="54"/>
      <c r="C122" s="65"/>
      <c r="D122" s="60"/>
      <c r="E122" s="60"/>
      <c r="F122" s="63"/>
      <c r="G122" s="62"/>
      <c r="H122" s="63"/>
      <c r="I122" s="60"/>
      <c r="J122" s="59"/>
      <c r="K122" s="64"/>
      <c r="L122" s="60"/>
      <c r="M122" s="60"/>
      <c r="N122" s="60"/>
      <c r="O122" s="25" t="s">
        <v>562</v>
      </c>
      <c r="P122" s="33" t="s">
        <v>362</v>
      </c>
      <c r="Q122" s="56"/>
      <c r="R122" s="56"/>
      <c r="S122" s="56"/>
      <c r="T122" s="24"/>
      <c r="U122" s="24"/>
    </row>
    <row r="123" spans="1:21" ht="25.5" x14ac:dyDescent="0.25">
      <c r="A123" s="54"/>
      <c r="B123" s="54"/>
      <c r="C123" s="65"/>
      <c r="D123" s="60"/>
      <c r="E123" s="60"/>
      <c r="F123" s="63"/>
      <c r="G123" s="62"/>
      <c r="H123" s="63"/>
      <c r="I123" s="60"/>
      <c r="J123" s="59"/>
      <c r="K123" s="64"/>
      <c r="L123" s="60"/>
      <c r="M123" s="60"/>
      <c r="N123" s="60"/>
      <c r="O123" s="25" t="s">
        <v>563</v>
      </c>
      <c r="P123" s="33" t="s">
        <v>417</v>
      </c>
      <c r="Q123" s="57"/>
      <c r="R123" s="57"/>
      <c r="S123" s="57"/>
      <c r="T123" s="24"/>
      <c r="U123" s="24"/>
    </row>
    <row r="124" spans="1:21" ht="75" customHeight="1" x14ac:dyDescent="0.25">
      <c r="A124" s="54"/>
      <c r="B124" s="54"/>
      <c r="C124" s="65"/>
      <c r="D124" s="60" t="s">
        <v>75</v>
      </c>
      <c r="E124" s="60" t="s">
        <v>187</v>
      </c>
      <c r="F124" s="63" t="s">
        <v>178</v>
      </c>
      <c r="G124" s="62" t="s">
        <v>263</v>
      </c>
      <c r="H124" s="63" t="s">
        <v>188</v>
      </c>
      <c r="I124" s="60" t="s">
        <v>208</v>
      </c>
      <c r="J124" s="59" t="s">
        <v>323</v>
      </c>
      <c r="K124" s="64" t="str">
        <f>+CONCATENATE(D121," ",E124," ",F124," ",G124," ",H124," ",I124)</f>
        <v>Yo como bodeguero necesito enviar a inventario las cargas recibidas para poder registrar la mercancía en el sistema de gestión de inventario para su control y seguimiento.</v>
      </c>
      <c r="L124" s="60" t="s">
        <v>773</v>
      </c>
      <c r="M124" s="60" t="s">
        <v>737</v>
      </c>
      <c r="N124" s="60" t="s">
        <v>738</v>
      </c>
      <c r="O124" s="25" t="s">
        <v>564</v>
      </c>
      <c r="P124" s="33" t="s">
        <v>418</v>
      </c>
      <c r="Q124" s="55" t="s">
        <v>859</v>
      </c>
      <c r="R124" s="55" t="s">
        <v>864</v>
      </c>
      <c r="S124" s="55" t="s">
        <v>865</v>
      </c>
      <c r="T124" s="24"/>
      <c r="U124" s="24"/>
    </row>
    <row r="125" spans="1:21" ht="25.5" x14ac:dyDescent="0.25">
      <c r="A125" s="54"/>
      <c r="B125" s="54"/>
      <c r="C125" s="65"/>
      <c r="D125" s="60"/>
      <c r="E125" s="60"/>
      <c r="F125" s="63"/>
      <c r="G125" s="62"/>
      <c r="H125" s="63"/>
      <c r="I125" s="60"/>
      <c r="J125" s="59"/>
      <c r="K125" s="64"/>
      <c r="L125" s="60"/>
      <c r="M125" s="60"/>
      <c r="N125" s="60"/>
      <c r="O125" s="25" t="s">
        <v>565</v>
      </c>
      <c r="P125" s="33" t="s">
        <v>363</v>
      </c>
      <c r="Q125" s="56"/>
      <c r="R125" s="56"/>
      <c r="S125" s="56"/>
      <c r="T125" s="24"/>
      <c r="U125" s="24"/>
    </row>
    <row r="126" spans="1:21" x14ac:dyDescent="0.25">
      <c r="A126" s="54"/>
      <c r="B126" s="54"/>
      <c r="C126" s="65"/>
      <c r="D126" s="60"/>
      <c r="E126" s="60"/>
      <c r="F126" s="63"/>
      <c r="G126" s="62"/>
      <c r="H126" s="63"/>
      <c r="I126" s="60"/>
      <c r="J126" s="59"/>
      <c r="K126" s="64"/>
      <c r="L126" s="60"/>
      <c r="M126" s="60"/>
      <c r="N126" s="60"/>
      <c r="O126" s="25" t="s">
        <v>721</v>
      </c>
      <c r="P126" s="33" t="s">
        <v>364</v>
      </c>
      <c r="Q126" s="57"/>
      <c r="R126" s="57"/>
      <c r="S126" s="57"/>
      <c r="T126" s="24"/>
      <c r="U126" s="24"/>
    </row>
    <row r="127" spans="1:21" ht="25.5" customHeight="1" x14ac:dyDescent="0.25">
      <c r="A127" s="54"/>
      <c r="B127" s="54" t="s">
        <v>607</v>
      </c>
      <c r="C127" s="65" t="s">
        <v>379</v>
      </c>
      <c r="D127" s="60" t="s">
        <v>75</v>
      </c>
      <c r="E127" s="60" t="s">
        <v>187</v>
      </c>
      <c r="F127" s="63" t="s">
        <v>178</v>
      </c>
      <c r="G127" s="62" t="s">
        <v>264</v>
      </c>
      <c r="H127" s="63" t="s">
        <v>188</v>
      </c>
      <c r="I127" s="60" t="s">
        <v>209</v>
      </c>
      <c r="J127" s="59" t="s">
        <v>324</v>
      </c>
      <c r="K127" s="64" t="str">
        <f>+CONCATENATE(D124," ",E127," ",F127," ",G127," ",H127," ",I127)</f>
        <v>Yo como bodeguero necesito visualizar todas las cargas que se encuentran en inventario para poder tener una visión completa del stock disponible y su ubicación.</v>
      </c>
      <c r="L127" s="60" t="s">
        <v>774</v>
      </c>
      <c r="M127" s="60" t="s">
        <v>739</v>
      </c>
      <c r="N127" s="60" t="s">
        <v>740</v>
      </c>
      <c r="O127" s="25" t="s">
        <v>566</v>
      </c>
      <c r="P127" s="33" t="s">
        <v>756</v>
      </c>
      <c r="Q127" s="55" t="s">
        <v>866</v>
      </c>
      <c r="R127" s="55" t="s">
        <v>867</v>
      </c>
      <c r="S127" s="55" t="s">
        <v>868</v>
      </c>
      <c r="T127" s="24"/>
      <c r="U127" s="24"/>
    </row>
    <row r="128" spans="1:21" ht="38.25" x14ac:dyDescent="0.25">
      <c r="A128" s="54"/>
      <c r="B128" s="54"/>
      <c r="C128" s="65"/>
      <c r="D128" s="60"/>
      <c r="E128" s="60"/>
      <c r="F128" s="63"/>
      <c r="G128" s="62"/>
      <c r="H128" s="63"/>
      <c r="I128" s="60"/>
      <c r="J128" s="59"/>
      <c r="K128" s="64"/>
      <c r="L128" s="60"/>
      <c r="M128" s="60"/>
      <c r="N128" s="60"/>
      <c r="O128" s="25" t="s">
        <v>567</v>
      </c>
      <c r="P128" s="33" t="s">
        <v>419</v>
      </c>
      <c r="Q128" s="57"/>
      <c r="R128" s="57"/>
      <c r="S128" s="57"/>
      <c r="T128" s="24"/>
      <c r="U128" s="24"/>
    </row>
    <row r="129" spans="1:21" ht="75" customHeight="1" x14ac:dyDescent="0.25">
      <c r="A129" s="54"/>
      <c r="B129" s="54"/>
      <c r="C129" s="65"/>
      <c r="D129" s="60" t="s">
        <v>75</v>
      </c>
      <c r="E129" s="60" t="s">
        <v>187</v>
      </c>
      <c r="F129" s="63" t="s">
        <v>178</v>
      </c>
      <c r="G129" s="62" t="s">
        <v>380</v>
      </c>
      <c r="H129" s="63" t="s">
        <v>188</v>
      </c>
      <c r="I129" s="60" t="s">
        <v>210</v>
      </c>
      <c r="J129" s="59" t="s">
        <v>325</v>
      </c>
      <c r="K129" s="64" t="str">
        <f>+CONCATENATE(D127," ",E129," ",F129," ",G129," ",H129," ",I129)</f>
        <v>Yo como bodeguero necesito filtrar el listado de cargas por estado; fecha; origen y destino para poder optimizar la búsqueda de información específica dentro del inventario.</v>
      </c>
      <c r="L129" s="60" t="s">
        <v>774</v>
      </c>
      <c r="M129" s="60" t="s">
        <v>739</v>
      </c>
      <c r="N129" s="60" t="s">
        <v>740</v>
      </c>
      <c r="O129" s="25" t="s">
        <v>568</v>
      </c>
      <c r="P129" s="33" t="s">
        <v>755</v>
      </c>
      <c r="Q129" s="55" t="s">
        <v>866</v>
      </c>
      <c r="R129" s="55" t="s">
        <v>867</v>
      </c>
      <c r="S129" s="55" t="s">
        <v>868</v>
      </c>
      <c r="T129" s="24"/>
      <c r="U129" s="24"/>
    </row>
    <row r="130" spans="1:21" ht="25.5" x14ac:dyDescent="0.25">
      <c r="A130" s="54"/>
      <c r="B130" s="54"/>
      <c r="C130" s="65"/>
      <c r="D130" s="60"/>
      <c r="E130" s="60"/>
      <c r="F130" s="63"/>
      <c r="G130" s="62"/>
      <c r="H130" s="63"/>
      <c r="I130" s="60"/>
      <c r="J130" s="59"/>
      <c r="K130" s="64"/>
      <c r="L130" s="60"/>
      <c r="M130" s="60"/>
      <c r="N130" s="60"/>
      <c r="O130" s="25" t="s">
        <v>569</v>
      </c>
      <c r="P130" s="33" t="s">
        <v>365</v>
      </c>
      <c r="Q130" s="56"/>
      <c r="R130" s="56"/>
      <c r="S130" s="56"/>
      <c r="T130" s="24"/>
      <c r="U130" s="24"/>
    </row>
    <row r="131" spans="1:21" x14ac:dyDescent="0.25">
      <c r="A131" s="54"/>
      <c r="B131" s="54"/>
      <c r="C131" s="65"/>
      <c r="D131" s="60"/>
      <c r="E131" s="60"/>
      <c r="F131" s="63"/>
      <c r="G131" s="62"/>
      <c r="H131" s="63"/>
      <c r="I131" s="60"/>
      <c r="J131" s="59"/>
      <c r="K131" s="64"/>
      <c r="L131" s="60"/>
      <c r="M131" s="60"/>
      <c r="N131" s="60"/>
      <c r="O131" s="25" t="s">
        <v>616</v>
      </c>
      <c r="P131" s="33" t="s">
        <v>366</v>
      </c>
      <c r="Q131" s="57"/>
      <c r="R131" s="57"/>
      <c r="S131" s="57"/>
      <c r="T131" s="24"/>
      <c r="U131" s="24"/>
    </row>
    <row r="132" spans="1:21" ht="75" customHeight="1" x14ac:dyDescent="0.25">
      <c r="A132" s="54"/>
      <c r="B132" s="54"/>
      <c r="C132" s="65"/>
      <c r="D132" s="60" t="s">
        <v>75</v>
      </c>
      <c r="E132" s="60" t="s">
        <v>187</v>
      </c>
      <c r="F132" s="63" t="s">
        <v>178</v>
      </c>
      <c r="G132" s="62" t="s">
        <v>265</v>
      </c>
      <c r="H132" s="63" t="s">
        <v>188</v>
      </c>
      <c r="I132" s="60" t="s">
        <v>211</v>
      </c>
      <c r="J132" s="59" t="s">
        <v>326</v>
      </c>
      <c r="K132" s="64" t="str">
        <f>+CONCATENATE(D129," ",E132," ",F132," ",G132," ",H132," ",I132)</f>
        <v>Yo como bodeguero necesito realizar búsquedas de cargas dentro del inventario para poder encontrar información específica de cargas utilizando diferentes criterios de búsqueda.</v>
      </c>
      <c r="L132" s="60" t="s">
        <v>774</v>
      </c>
      <c r="M132" s="60" t="s">
        <v>739</v>
      </c>
      <c r="N132" s="60" t="s">
        <v>740</v>
      </c>
      <c r="O132" s="25" t="s">
        <v>570</v>
      </c>
      <c r="P132" s="33" t="s">
        <v>754</v>
      </c>
      <c r="Q132" s="55" t="s">
        <v>866</v>
      </c>
      <c r="R132" s="55" t="s">
        <v>867</v>
      </c>
      <c r="S132" s="55" t="s">
        <v>868</v>
      </c>
      <c r="T132" s="24"/>
      <c r="U132" s="24"/>
    </row>
    <row r="133" spans="1:21" ht="25.5" customHeight="1" x14ac:dyDescent="0.25">
      <c r="A133" s="54"/>
      <c r="B133" s="54"/>
      <c r="C133" s="65"/>
      <c r="D133" s="60"/>
      <c r="E133" s="60"/>
      <c r="F133" s="63"/>
      <c r="G133" s="62"/>
      <c r="H133" s="63"/>
      <c r="I133" s="60"/>
      <c r="J133" s="59"/>
      <c r="K133" s="64"/>
      <c r="L133" s="60"/>
      <c r="M133" s="60"/>
      <c r="N133" s="60"/>
      <c r="O133" s="25" t="s">
        <v>571</v>
      </c>
      <c r="P133" s="33" t="s">
        <v>420</v>
      </c>
      <c r="Q133" s="56"/>
      <c r="R133" s="56"/>
      <c r="S133" s="56"/>
      <c r="T133" s="24"/>
      <c r="U133" s="24"/>
    </row>
    <row r="134" spans="1:21" ht="25.5" x14ac:dyDescent="0.25">
      <c r="A134" s="54"/>
      <c r="B134" s="54"/>
      <c r="C134" s="65"/>
      <c r="D134" s="60"/>
      <c r="E134" s="60"/>
      <c r="F134" s="63"/>
      <c r="G134" s="62"/>
      <c r="H134" s="63"/>
      <c r="I134" s="60"/>
      <c r="J134" s="59"/>
      <c r="K134" s="64"/>
      <c r="L134" s="60"/>
      <c r="M134" s="60"/>
      <c r="N134" s="60"/>
      <c r="O134" s="25" t="s">
        <v>572</v>
      </c>
      <c r="P134" s="33" t="s">
        <v>367</v>
      </c>
      <c r="Q134" s="57"/>
      <c r="R134" s="57"/>
      <c r="S134" s="57"/>
      <c r="T134" s="24"/>
      <c r="U134" s="24"/>
    </row>
    <row r="135" spans="1:21" ht="30" customHeight="1" x14ac:dyDescent="0.25">
      <c r="A135" s="54"/>
      <c r="B135" s="54" t="s">
        <v>602</v>
      </c>
      <c r="C135" s="65" t="s">
        <v>111</v>
      </c>
      <c r="D135" s="60" t="s">
        <v>75</v>
      </c>
      <c r="E135" s="60" t="s">
        <v>187</v>
      </c>
      <c r="F135" s="63" t="s">
        <v>178</v>
      </c>
      <c r="G135" s="62" t="s">
        <v>246</v>
      </c>
      <c r="H135" s="63" t="s">
        <v>188</v>
      </c>
      <c r="I135" s="60" t="s">
        <v>212</v>
      </c>
      <c r="J135" s="59" t="s">
        <v>327</v>
      </c>
      <c r="K135" s="64" t="str">
        <f>+CONCATENATE(D132," ",E135," ",F135," ",G135," ",H135," ",I135)</f>
        <v>Yo como bodeguero necesito reimprimir etiquetas individuales o por lote en caso de daño o pérdida para poder asegurar la correcta identificación de los paquetes y evitar problemas en el manejo de la carga.</v>
      </c>
      <c r="L135" s="60" t="s">
        <v>774</v>
      </c>
      <c r="M135" s="60" t="s">
        <v>741</v>
      </c>
      <c r="N135" s="60" t="s">
        <v>742</v>
      </c>
      <c r="O135" s="25" t="s">
        <v>573</v>
      </c>
      <c r="P135" s="33" t="s">
        <v>759</v>
      </c>
      <c r="Q135" s="55" t="s">
        <v>866</v>
      </c>
      <c r="R135" s="55" t="s">
        <v>869</v>
      </c>
      <c r="S135" s="55" t="s">
        <v>870</v>
      </c>
      <c r="T135" s="24"/>
      <c r="U135" s="24"/>
    </row>
    <row r="136" spans="1:21" ht="25.5" x14ac:dyDescent="0.25">
      <c r="A136" s="54"/>
      <c r="B136" s="54"/>
      <c r="C136" s="65"/>
      <c r="D136" s="60"/>
      <c r="E136" s="60"/>
      <c r="F136" s="63"/>
      <c r="G136" s="62"/>
      <c r="H136" s="63"/>
      <c r="I136" s="60"/>
      <c r="J136" s="59"/>
      <c r="K136" s="64"/>
      <c r="L136" s="60"/>
      <c r="M136" s="60"/>
      <c r="N136" s="60"/>
      <c r="O136" s="25" t="s">
        <v>574</v>
      </c>
      <c r="P136" s="33" t="s">
        <v>368</v>
      </c>
      <c r="Q136" s="56"/>
      <c r="R136" s="56"/>
      <c r="S136" s="56"/>
      <c r="T136" s="24"/>
      <c r="U136" s="24"/>
    </row>
    <row r="137" spans="1:21" x14ac:dyDescent="0.25">
      <c r="A137" s="54"/>
      <c r="B137" s="54"/>
      <c r="C137" s="65"/>
      <c r="D137" s="60"/>
      <c r="E137" s="60"/>
      <c r="F137" s="63"/>
      <c r="G137" s="62"/>
      <c r="H137" s="63"/>
      <c r="I137" s="60"/>
      <c r="J137" s="59"/>
      <c r="K137" s="64"/>
      <c r="L137" s="60"/>
      <c r="M137" s="60"/>
      <c r="N137" s="60"/>
      <c r="O137" s="25" t="s">
        <v>617</v>
      </c>
      <c r="P137" s="33" t="s">
        <v>369</v>
      </c>
      <c r="Q137" s="57"/>
      <c r="R137" s="57"/>
      <c r="S137" s="57"/>
      <c r="T137" s="24"/>
      <c r="U137" s="24"/>
    </row>
    <row r="138" spans="1:21" ht="25.5" customHeight="1" x14ac:dyDescent="0.25">
      <c r="A138" s="54"/>
      <c r="B138" s="54" t="s">
        <v>608</v>
      </c>
      <c r="C138" s="65" t="s">
        <v>183</v>
      </c>
      <c r="D138" s="60" t="s">
        <v>75</v>
      </c>
      <c r="E138" s="60" t="s">
        <v>187</v>
      </c>
      <c r="F138" s="63" t="s">
        <v>178</v>
      </c>
      <c r="G138" s="62" t="s">
        <v>248</v>
      </c>
      <c r="H138" s="63" t="s">
        <v>188</v>
      </c>
      <c r="I138" s="60" t="s">
        <v>217</v>
      </c>
      <c r="J138" s="59" t="s">
        <v>328</v>
      </c>
      <c r="K138" s="64" t="str">
        <f>+CONCATENATE(D135," ",E138," ",F138," ",G138," ",H138," ",I138)</f>
        <v>Yo como bodeguero necesito unificar los packing list de las cargas del contenedor en un packing list master para poder tener un documento consolidado con el contenido total del contenedor para facilitar la gestión y la documentación.</v>
      </c>
      <c r="L138" s="60" t="s">
        <v>776</v>
      </c>
      <c r="M138" s="60" t="s">
        <v>743</v>
      </c>
      <c r="N138" s="60" t="s">
        <v>744</v>
      </c>
      <c r="O138" s="25" t="s">
        <v>575</v>
      </c>
      <c r="P138" s="33" t="s">
        <v>760</v>
      </c>
      <c r="Q138" s="55" t="s">
        <v>871</v>
      </c>
      <c r="R138" s="55" t="s">
        <v>872</v>
      </c>
      <c r="S138" s="55" t="s">
        <v>873</v>
      </c>
      <c r="T138" s="24"/>
      <c r="U138" s="24"/>
    </row>
    <row r="139" spans="1:21" ht="25.5" x14ac:dyDescent="0.25">
      <c r="A139" s="54"/>
      <c r="B139" s="54"/>
      <c r="C139" s="65"/>
      <c r="D139" s="60"/>
      <c r="E139" s="60"/>
      <c r="F139" s="63"/>
      <c r="G139" s="62"/>
      <c r="H139" s="63"/>
      <c r="I139" s="60"/>
      <c r="J139" s="59"/>
      <c r="K139" s="64"/>
      <c r="L139" s="60"/>
      <c r="M139" s="60"/>
      <c r="N139" s="60"/>
      <c r="O139" s="25" t="s">
        <v>576</v>
      </c>
      <c r="P139" s="33" t="s">
        <v>761</v>
      </c>
      <c r="Q139" s="56"/>
      <c r="R139" s="56"/>
      <c r="S139" s="56"/>
      <c r="T139" s="24"/>
      <c r="U139" s="24"/>
    </row>
    <row r="140" spans="1:21" ht="25.5" x14ac:dyDescent="0.25">
      <c r="A140" s="54"/>
      <c r="B140" s="54"/>
      <c r="C140" s="65"/>
      <c r="D140" s="60"/>
      <c r="E140" s="60"/>
      <c r="F140" s="63"/>
      <c r="G140" s="62"/>
      <c r="H140" s="63"/>
      <c r="I140" s="60"/>
      <c r="J140" s="59"/>
      <c r="K140" s="64"/>
      <c r="L140" s="60"/>
      <c r="M140" s="60"/>
      <c r="N140" s="60"/>
      <c r="O140" s="25" t="s">
        <v>722</v>
      </c>
      <c r="P140" s="33" t="s">
        <v>370</v>
      </c>
      <c r="Q140" s="57"/>
      <c r="R140" s="57"/>
      <c r="S140" s="57"/>
      <c r="T140" s="24"/>
      <c r="U140" s="24"/>
    </row>
    <row r="141" spans="1:21" ht="75" customHeight="1" x14ac:dyDescent="0.25">
      <c r="A141" s="54"/>
      <c r="B141" s="54"/>
      <c r="C141" s="65"/>
      <c r="D141" s="60" t="s">
        <v>75</v>
      </c>
      <c r="E141" s="60" t="s">
        <v>187</v>
      </c>
      <c r="F141" s="63" t="s">
        <v>178</v>
      </c>
      <c r="G141" s="62" t="s">
        <v>266</v>
      </c>
      <c r="H141" s="63" t="s">
        <v>188</v>
      </c>
      <c r="I141" s="60" t="s">
        <v>218</v>
      </c>
      <c r="J141" s="59" t="s">
        <v>329</v>
      </c>
      <c r="K141" s="64" t="str">
        <f>+CONCATENATE(D138," ",E141," ",F141," ",G141," ",H141," ",I141)</f>
        <v>Yo como bodeguero necesito descargar el packing list master del contenedor para poder tener una copia digital del documento consolidado del contenido del contenedor.</v>
      </c>
      <c r="L141" s="60" t="s">
        <v>776</v>
      </c>
      <c r="M141" s="60" t="s">
        <v>743</v>
      </c>
      <c r="N141" s="60" t="s">
        <v>744</v>
      </c>
      <c r="O141" s="25" t="s">
        <v>577</v>
      </c>
      <c r="P141" s="33" t="s">
        <v>421</v>
      </c>
      <c r="Q141" s="55" t="s">
        <v>871</v>
      </c>
      <c r="R141" s="55" t="s">
        <v>872</v>
      </c>
      <c r="S141" s="55" t="s">
        <v>873</v>
      </c>
      <c r="T141" s="24"/>
      <c r="U141" s="24"/>
    </row>
    <row r="142" spans="1:21" ht="25.5" x14ac:dyDescent="0.25">
      <c r="A142" s="54"/>
      <c r="B142" s="54"/>
      <c r="C142" s="65"/>
      <c r="D142" s="60"/>
      <c r="E142" s="60"/>
      <c r="F142" s="63"/>
      <c r="G142" s="62"/>
      <c r="H142" s="63"/>
      <c r="I142" s="60"/>
      <c r="J142" s="59"/>
      <c r="K142" s="64"/>
      <c r="L142" s="60"/>
      <c r="M142" s="60"/>
      <c r="N142" s="60"/>
      <c r="O142" s="25" t="s">
        <v>578</v>
      </c>
      <c r="P142" s="33" t="s">
        <v>490</v>
      </c>
      <c r="Q142" s="57"/>
      <c r="R142" s="57"/>
      <c r="S142" s="57"/>
      <c r="T142" s="24"/>
      <c r="U142" s="24"/>
    </row>
    <row r="143" spans="1:21" ht="25.5" customHeight="1" x14ac:dyDescent="0.25">
      <c r="A143" s="54"/>
      <c r="B143" s="54"/>
      <c r="C143" s="65" t="s">
        <v>182</v>
      </c>
      <c r="D143" s="60" t="s">
        <v>75</v>
      </c>
      <c r="E143" s="60" t="s">
        <v>187</v>
      </c>
      <c r="F143" s="63" t="s">
        <v>178</v>
      </c>
      <c r="G143" s="62" t="s">
        <v>778</v>
      </c>
      <c r="H143" s="63" t="s">
        <v>188</v>
      </c>
      <c r="I143" s="60" t="s">
        <v>219</v>
      </c>
      <c r="J143" s="59" t="s">
        <v>330</v>
      </c>
      <c r="K143" s="64" t="str">
        <f>+CONCATENATE(D141," ",E143," ",F143," ",G143," ",H143," ",I143)</f>
        <v>Yo como bodeguero necesito crear draft (borrrador) del bill of landing del contenedor para poder generar el documento de transporte marítimo necesario para el envío del contenedor.</v>
      </c>
      <c r="L143" s="60" t="s">
        <v>776</v>
      </c>
      <c r="M143" s="60" t="s">
        <v>743</v>
      </c>
      <c r="N143" s="60" t="s">
        <v>744</v>
      </c>
      <c r="O143" s="25" t="s">
        <v>579</v>
      </c>
      <c r="P143" s="33" t="s">
        <v>758</v>
      </c>
      <c r="Q143" s="55" t="s">
        <v>871</v>
      </c>
      <c r="R143" s="55" t="s">
        <v>872</v>
      </c>
      <c r="S143" s="55" t="s">
        <v>873</v>
      </c>
      <c r="T143" s="24"/>
      <c r="U143" s="24"/>
    </row>
    <row r="144" spans="1:21" ht="24.75" customHeight="1" x14ac:dyDescent="0.25">
      <c r="A144" s="54"/>
      <c r="B144" s="54"/>
      <c r="C144" s="65"/>
      <c r="D144" s="60"/>
      <c r="E144" s="60"/>
      <c r="F144" s="63"/>
      <c r="G144" s="62"/>
      <c r="H144" s="63"/>
      <c r="I144" s="60"/>
      <c r="J144" s="59"/>
      <c r="K144" s="64"/>
      <c r="L144" s="60"/>
      <c r="M144" s="60"/>
      <c r="N144" s="60"/>
      <c r="O144" s="25" t="s">
        <v>580</v>
      </c>
      <c r="P144" s="33" t="s">
        <v>422</v>
      </c>
      <c r="Q144" s="56"/>
      <c r="R144" s="56"/>
      <c r="S144" s="56"/>
      <c r="T144" s="24"/>
      <c r="U144" s="24"/>
    </row>
    <row r="145" spans="1:21" ht="25.5" x14ac:dyDescent="0.25">
      <c r="A145" s="54"/>
      <c r="B145" s="54"/>
      <c r="C145" s="65"/>
      <c r="D145" s="60"/>
      <c r="E145" s="60"/>
      <c r="F145" s="63"/>
      <c r="G145" s="62"/>
      <c r="H145" s="63"/>
      <c r="I145" s="60"/>
      <c r="J145" s="59"/>
      <c r="K145" s="64"/>
      <c r="L145" s="60"/>
      <c r="M145" s="60"/>
      <c r="N145" s="60"/>
      <c r="O145" s="25" t="s">
        <v>723</v>
      </c>
      <c r="P145" s="33" t="s">
        <v>423</v>
      </c>
      <c r="Q145" s="57"/>
      <c r="R145" s="57"/>
      <c r="S145" s="57"/>
      <c r="T145" s="24"/>
      <c r="U145" s="24"/>
    </row>
    <row r="146" spans="1:21" ht="75" customHeight="1" x14ac:dyDescent="0.25">
      <c r="A146" s="54"/>
      <c r="B146" s="54"/>
      <c r="C146" s="65"/>
      <c r="D146" s="60" t="s">
        <v>75</v>
      </c>
      <c r="E146" s="60" t="s">
        <v>187</v>
      </c>
      <c r="F146" s="63" t="s">
        <v>178</v>
      </c>
      <c r="G146" s="62" t="s">
        <v>267</v>
      </c>
      <c r="H146" s="63" t="s">
        <v>188</v>
      </c>
      <c r="I146" s="60" t="s">
        <v>220</v>
      </c>
      <c r="J146" s="59" t="s">
        <v>331</v>
      </c>
      <c r="K146" s="61" t="str">
        <f>+CONCATENATE(D143," ",E146," ",F146," ",G146," ",H146," ",I146)</f>
        <v>Yo como bodeguero necesito editar el bill of landing del contenedor para poder corregir o actualizar la información del documento de transporte marítimo del contenedor.</v>
      </c>
      <c r="L146" s="60" t="s">
        <v>776</v>
      </c>
      <c r="M146" s="60" t="s">
        <v>743</v>
      </c>
      <c r="N146" s="60" t="s">
        <v>744</v>
      </c>
      <c r="O146" s="25" t="s">
        <v>581</v>
      </c>
      <c r="P146" s="33" t="s">
        <v>757</v>
      </c>
      <c r="Q146" s="55" t="s">
        <v>871</v>
      </c>
      <c r="R146" s="55" t="s">
        <v>872</v>
      </c>
      <c r="S146" s="55" t="s">
        <v>873</v>
      </c>
      <c r="T146" s="24"/>
      <c r="U146" s="24"/>
    </row>
    <row r="147" spans="1:21" ht="27" customHeight="1" x14ac:dyDescent="0.25">
      <c r="A147" s="54"/>
      <c r="B147" s="54"/>
      <c r="C147" s="65"/>
      <c r="D147" s="60"/>
      <c r="E147" s="60"/>
      <c r="F147" s="63"/>
      <c r="G147" s="62"/>
      <c r="H147" s="63"/>
      <c r="I147" s="60"/>
      <c r="J147" s="59"/>
      <c r="K147" s="61"/>
      <c r="L147" s="60"/>
      <c r="M147" s="60"/>
      <c r="N147" s="60"/>
      <c r="O147" s="25" t="s">
        <v>582</v>
      </c>
      <c r="P147" s="33" t="s">
        <v>371</v>
      </c>
      <c r="Q147" s="57"/>
      <c r="R147" s="57"/>
      <c r="S147" s="57"/>
      <c r="T147" s="24"/>
      <c r="U147" s="24"/>
    </row>
    <row r="148" spans="1:21" ht="25.5" customHeight="1" x14ac:dyDescent="0.25">
      <c r="A148" s="54"/>
      <c r="B148" s="54"/>
      <c r="C148" s="65" t="s">
        <v>184</v>
      </c>
      <c r="D148" s="60" t="s">
        <v>75</v>
      </c>
      <c r="E148" s="60" t="s">
        <v>187</v>
      </c>
      <c r="F148" s="63" t="s">
        <v>178</v>
      </c>
      <c r="G148" s="62" t="s">
        <v>268</v>
      </c>
      <c r="H148" s="63" t="s">
        <v>188</v>
      </c>
      <c r="I148" s="60" t="s">
        <v>221</v>
      </c>
      <c r="J148" s="59" t="s">
        <v>332</v>
      </c>
      <c r="K148" s="61" t="str">
        <f>+CONCATENATE(D146," ",E148," ",F148," ",G148," ",H148," ",I148)</f>
        <v>Yo como bodeguero necesito asignar el consignee de las cargas del contenedor para poder especificar el destinatario final de la mercancía dentro del contenedor.</v>
      </c>
      <c r="L148" s="60" t="s">
        <v>776</v>
      </c>
      <c r="M148" s="60" t="s">
        <v>751</v>
      </c>
      <c r="N148" s="60" t="s">
        <v>750</v>
      </c>
      <c r="O148" s="25" t="s">
        <v>583</v>
      </c>
      <c r="P148" s="33" t="s">
        <v>762</v>
      </c>
      <c r="Q148" s="55" t="s">
        <v>871</v>
      </c>
      <c r="R148" s="55" t="s">
        <v>874</v>
      </c>
      <c r="S148" s="55" t="s">
        <v>875</v>
      </c>
      <c r="T148" s="24"/>
      <c r="U148" s="24"/>
    </row>
    <row r="149" spans="1:21" x14ac:dyDescent="0.25">
      <c r="A149" s="54"/>
      <c r="B149" s="54"/>
      <c r="C149" s="65"/>
      <c r="D149" s="60"/>
      <c r="E149" s="60"/>
      <c r="F149" s="63"/>
      <c r="G149" s="62"/>
      <c r="H149" s="63"/>
      <c r="I149" s="60"/>
      <c r="J149" s="59"/>
      <c r="K149" s="61"/>
      <c r="L149" s="60"/>
      <c r="M149" s="60"/>
      <c r="N149" s="60"/>
      <c r="O149" s="25" t="s">
        <v>584</v>
      </c>
      <c r="P149" s="33" t="s">
        <v>372</v>
      </c>
      <c r="Q149" s="56"/>
      <c r="R149" s="56"/>
      <c r="S149" s="56"/>
      <c r="T149" s="24"/>
      <c r="U149" s="24"/>
    </row>
    <row r="150" spans="1:21" ht="25.5" x14ac:dyDescent="0.25">
      <c r="A150" s="54"/>
      <c r="B150" s="54"/>
      <c r="C150" s="65"/>
      <c r="D150" s="60"/>
      <c r="E150" s="60"/>
      <c r="F150" s="63"/>
      <c r="G150" s="62"/>
      <c r="H150" s="63"/>
      <c r="I150" s="60"/>
      <c r="J150" s="59"/>
      <c r="K150" s="61"/>
      <c r="L150" s="60"/>
      <c r="M150" s="60"/>
      <c r="N150" s="60"/>
      <c r="O150" s="25" t="s">
        <v>585</v>
      </c>
      <c r="P150" s="33" t="s">
        <v>373</v>
      </c>
      <c r="Q150" s="57"/>
      <c r="R150" s="57"/>
      <c r="S150" s="57"/>
      <c r="T150" s="24"/>
      <c r="U150" s="24"/>
    </row>
    <row r="151" spans="1:21" ht="90" customHeight="1" x14ac:dyDescent="0.25">
      <c r="A151" s="54"/>
      <c r="B151" s="54"/>
      <c r="C151" s="65"/>
      <c r="D151" s="60" t="s">
        <v>75</v>
      </c>
      <c r="E151" s="60" t="s">
        <v>187</v>
      </c>
      <c r="F151" s="63" t="s">
        <v>178</v>
      </c>
      <c r="G151" s="62" t="s">
        <v>269</v>
      </c>
      <c r="H151" s="63" t="s">
        <v>188</v>
      </c>
      <c r="I151" s="60" t="s">
        <v>222</v>
      </c>
      <c r="J151" s="59" t="s">
        <v>333</v>
      </c>
      <c r="K151" s="61" t="str">
        <f>+CONCATENATE(D148," ",E151," ",F151," ",G151," ",H151," ",I151)</f>
        <v>Yo como bodeguero necesito asignar el notify de las cargas del contenedor para poder especificar la parte a la que se debe notificar sobre la llegada del contenedor.</v>
      </c>
      <c r="L151" s="60" t="s">
        <v>776</v>
      </c>
      <c r="M151" s="60" t="s">
        <v>751</v>
      </c>
      <c r="N151" s="60" t="s">
        <v>750</v>
      </c>
      <c r="O151" s="25" t="s">
        <v>586</v>
      </c>
      <c r="P151" s="33" t="s">
        <v>763</v>
      </c>
      <c r="Q151" s="55" t="s">
        <v>871</v>
      </c>
      <c r="R151" s="55" t="s">
        <v>874</v>
      </c>
      <c r="S151" s="55" t="s">
        <v>875</v>
      </c>
      <c r="T151" s="24"/>
      <c r="U151" s="24"/>
    </row>
    <row r="152" spans="1:21" ht="25.5" x14ac:dyDescent="0.25">
      <c r="A152" s="54"/>
      <c r="B152" s="54"/>
      <c r="C152" s="65"/>
      <c r="D152" s="60"/>
      <c r="E152" s="60"/>
      <c r="F152" s="63"/>
      <c r="G152" s="62"/>
      <c r="H152" s="63"/>
      <c r="I152" s="60"/>
      <c r="J152" s="59"/>
      <c r="K152" s="61"/>
      <c r="L152" s="60"/>
      <c r="M152" s="60"/>
      <c r="N152" s="60"/>
      <c r="O152" s="25" t="s">
        <v>587</v>
      </c>
      <c r="P152" s="33" t="s">
        <v>374</v>
      </c>
      <c r="Q152" s="56"/>
      <c r="R152" s="56"/>
      <c r="S152" s="56"/>
      <c r="T152" s="24"/>
      <c r="U152" s="24"/>
    </row>
    <row r="153" spans="1:21" ht="25.5" x14ac:dyDescent="0.25">
      <c r="A153" s="54"/>
      <c r="B153" s="54"/>
      <c r="C153" s="65"/>
      <c r="D153" s="60"/>
      <c r="E153" s="60"/>
      <c r="F153" s="63"/>
      <c r="G153" s="62"/>
      <c r="H153" s="63"/>
      <c r="I153" s="60"/>
      <c r="J153" s="59"/>
      <c r="K153" s="61"/>
      <c r="L153" s="60"/>
      <c r="M153" s="60"/>
      <c r="N153" s="60"/>
      <c r="O153" s="25" t="s">
        <v>777</v>
      </c>
      <c r="P153" s="33" t="s">
        <v>375</v>
      </c>
      <c r="Q153" s="57"/>
      <c r="R153" s="57"/>
      <c r="S153" s="57"/>
      <c r="T153" s="24"/>
      <c r="U153" s="24"/>
    </row>
    <row r="154" spans="1:21" ht="75" customHeight="1" x14ac:dyDescent="0.25">
      <c r="A154" s="54"/>
      <c r="B154" s="54"/>
      <c r="C154" s="65" t="s">
        <v>185</v>
      </c>
      <c r="D154" s="62" t="s">
        <v>75</v>
      </c>
      <c r="E154" s="60" t="s">
        <v>187</v>
      </c>
      <c r="F154" s="63" t="s">
        <v>178</v>
      </c>
      <c r="G154" s="62" t="s">
        <v>752</v>
      </c>
      <c r="H154" s="63" t="s">
        <v>188</v>
      </c>
      <c r="I154" s="60" t="s">
        <v>753</v>
      </c>
      <c r="J154" s="59" t="s">
        <v>745</v>
      </c>
      <c r="K154" s="61" t="str">
        <f>+CONCATENATE(D151," ",E154," ",F154," ",G154," ",H154," ",I154)</f>
        <v>Yo como bodeguero necesito actualizar el estado de las cargas y el contenedor a "En Despacho" para poder indicar que toda la documentación y preparación interna están completas y que está listo para su salida de la bodega.</v>
      </c>
      <c r="L154" s="60"/>
      <c r="M154" s="60" t="s">
        <v>767</v>
      </c>
      <c r="N154" s="60" t="s">
        <v>768</v>
      </c>
      <c r="O154" s="25" t="s">
        <v>746</v>
      </c>
      <c r="P154" s="33" t="s">
        <v>764</v>
      </c>
      <c r="Q154" s="55"/>
      <c r="R154" s="55" t="s">
        <v>876</v>
      </c>
      <c r="S154" s="55" t="s">
        <v>877</v>
      </c>
      <c r="T154" s="24"/>
      <c r="U154" s="24"/>
    </row>
    <row r="155" spans="1:21" ht="51" x14ac:dyDescent="0.25">
      <c r="A155" s="54"/>
      <c r="B155" s="54"/>
      <c r="C155" s="65"/>
      <c r="D155" s="62"/>
      <c r="E155" s="60"/>
      <c r="F155" s="63"/>
      <c r="G155" s="62"/>
      <c r="H155" s="63"/>
      <c r="I155" s="60"/>
      <c r="J155" s="59"/>
      <c r="K155" s="61"/>
      <c r="L155" s="60"/>
      <c r="M155" s="60"/>
      <c r="N155" s="60"/>
      <c r="O155" s="25" t="s">
        <v>747</v>
      </c>
      <c r="P155" s="33" t="s">
        <v>765</v>
      </c>
      <c r="Q155" s="56"/>
      <c r="R155" s="56"/>
      <c r="S155" s="56"/>
      <c r="T155" s="24"/>
      <c r="U155" s="24"/>
    </row>
    <row r="156" spans="1:21" ht="38.25" x14ac:dyDescent="0.25">
      <c r="A156" s="54"/>
      <c r="B156" s="54"/>
      <c r="C156" s="65"/>
      <c r="D156" s="62"/>
      <c r="E156" s="60"/>
      <c r="F156" s="63"/>
      <c r="G156" s="62"/>
      <c r="H156" s="63"/>
      <c r="I156" s="60"/>
      <c r="J156" s="59"/>
      <c r="K156" s="61"/>
      <c r="L156" s="60"/>
      <c r="M156" s="60"/>
      <c r="N156" s="60"/>
      <c r="O156" s="25" t="s">
        <v>749</v>
      </c>
      <c r="P156" s="33" t="s">
        <v>766</v>
      </c>
      <c r="Q156" s="57"/>
      <c r="R156" s="57"/>
      <c r="S156" s="57"/>
      <c r="T156" s="24"/>
      <c r="U156" s="24"/>
    </row>
  </sheetData>
  <mergeCells count="774">
    <mergeCell ref="M148:M150"/>
    <mergeCell ref="M151:M153"/>
    <mergeCell ref="M154:M156"/>
    <mergeCell ref="N154:N156"/>
    <mergeCell ref="D141:D142"/>
    <mergeCell ref="D143:D145"/>
    <mergeCell ref="D146:D147"/>
    <mergeCell ref="D148:D150"/>
    <mergeCell ref="D151:D153"/>
    <mergeCell ref="D154:D156"/>
    <mergeCell ref="E143:E145"/>
    <mergeCell ref="F143:F145"/>
    <mergeCell ref="E154:E156"/>
    <mergeCell ref="F154:F156"/>
    <mergeCell ref="G154:G156"/>
    <mergeCell ref="H154:H156"/>
    <mergeCell ref="I154:I156"/>
    <mergeCell ref="H146:H147"/>
    <mergeCell ref="I146:I147"/>
    <mergeCell ref="E148:E150"/>
    <mergeCell ref="F148:F150"/>
    <mergeCell ref="G148:G150"/>
    <mergeCell ref="H148:H150"/>
    <mergeCell ref="M143:M145"/>
    <mergeCell ref="D109:D110"/>
    <mergeCell ref="D111:D112"/>
    <mergeCell ref="D138:D140"/>
    <mergeCell ref="D113:D115"/>
    <mergeCell ref="D116:D117"/>
    <mergeCell ref="D118:D120"/>
    <mergeCell ref="D121:D123"/>
    <mergeCell ref="D124:D126"/>
    <mergeCell ref="D127:D128"/>
    <mergeCell ref="D129:D131"/>
    <mergeCell ref="D132:D134"/>
    <mergeCell ref="D135:D137"/>
    <mergeCell ref="A73:A115"/>
    <mergeCell ref="A56:A72"/>
    <mergeCell ref="A116:A156"/>
    <mergeCell ref="B138:B156"/>
    <mergeCell ref="C111:C112"/>
    <mergeCell ref="C103:C110"/>
    <mergeCell ref="C154:C156"/>
    <mergeCell ref="D3:D5"/>
    <mergeCell ref="D6:D8"/>
    <mergeCell ref="D9:D10"/>
    <mergeCell ref="D11:D14"/>
    <mergeCell ref="D15:D18"/>
    <mergeCell ref="D19:D21"/>
    <mergeCell ref="D22:D24"/>
    <mergeCell ref="D25:D26"/>
    <mergeCell ref="D27:D30"/>
    <mergeCell ref="D31:D33"/>
    <mergeCell ref="D34:D35"/>
    <mergeCell ref="D36:D37"/>
    <mergeCell ref="D38:D39"/>
    <mergeCell ref="D40:D42"/>
    <mergeCell ref="D43:D46"/>
    <mergeCell ref="D47:D49"/>
    <mergeCell ref="D50:D52"/>
    <mergeCell ref="B3:B10"/>
    <mergeCell ref="B75:B77"/>
    <mergeCell ref="B78:B79"/>
    <mergeCell ref="B80:B82"/>
    <mergeCell ref="B83:B102"/>
    <mergeCell ref="C148:C153"/>
    <mergeCell ref="C143:C147"/>
    <mergeCell ref="C138:C142"/>
    <mergeCell ref="C135:C137"/>
    <mergeCell ref="C113:C117"/>
    <mergeCell ref="C118:C126"/>
    <mergeCell ref="C127:C134"/>
    <mergeCell ref="C56:C58"/>
    <mergeCell ref="C40:C52"/>
    <mergeCell ref="C78:C79"/>
    <mergeCell ref="C80:C82"/>
    <mergeCell ref="C83:C102"/>
    <mergeCell ref="C38:C39"/>
    <mergeCell ref="C68:C69"/>
    <mergeCell ref="C66:C67"/>
    <mergeCell ref="C59:C65"/>
    <mergeCell ref="B135:B137"/>
    <mergeCell ref="B127:B134"/>
    <mergeCell ref="B113:B126"/>
    <mergeCell ref="F141:F142"/>
    <mergeCell ref="H141:H142"/>
    <mergeCell ref="I141:I142"/>
    <mergeCell ref="L141:L142"/>
    <mergeCell ref="B40:B55"/>
    <mergeCell ref="B19:B39"/>
    <mergeCell ref="B56:B74"/>
    <mergeCell ref="B103:B112"/>
    <mergeCell ref="D53:D55"/>
    <mergeCell ref="D56:D58"/>
    <mergeCell ref="D59:D60"/>
    <mergeCell ref="D62:D63"/>
    <mergeCell ref="D64:D65"/>
    <mergeCell ref="D68:D69"/>
    <mergeCell ref="D70:D72"/>
    <mergeCell ref="D73:D74"/>
    <mergeCell ref="D75:D77"/>
    <mergeCell ref="D78:D79"/>
    <mergeCell ref="D83:D90"/>
    <mergeCell ref="D91:D95"/>
    <mergeCell ref="D96:D102"/>
    <mergeCell ref="D103:D104"/>
    <mergeCell ref="D105:D106"/>
    <mergeCell ref="D107:D108"/>
    <mergeCell ref="K121:K123"/>
    <mergeCell ref="L124:L126"/>
    <mergeCell ref="L127:L128"/>
    <mergeCell ref="L129:L131"/>
    <mergeCell ref="L132:L134"/>
    <mergeCell ref="L135:L137"/>
    <mergeCell ref="L138:L140"/>
    <mergeCell ref="M91:M95"/>
    <mergeCell ref="N91:N95"/>
    <mergeCell ref="M96:M102"/>
    <mergeCell ref="N96:N102"/>
    <mergeCell ref="M103:M104"/>
    <mergeCell ref="M105:M106"/>
    <mergeCell ref="M107:M108"/>
    <mergeCell ref="M109:M110"/>
    <mergeCell ref="N103:N104"/>
    <mergeCell ref="N105:N106"/>
    <mergeCell ref="N107:N108"/>
    <mergeCell ref="N109:N110"/>
    <mergeCell ref="N135:N137"/>
    <mergeCell ref="N138:N140"/>
    <mergeCell ref="K109:K110"/>
    <mergeCell ref="L96:L102"/>
    <mergeCell ref="L103:L104"/>
    <mergeCell ref="M146:M147"/>
    <mergeCell ref="N143:N145"/>
    <mergeCell ref="N146:N147"/>
    <mergeCell ref="M127:M128"/>
    <mergeCell ref="N127:N128"/>
    <mergeCell ref="M129:M131"/>
    <mergeCell ref="J143:J145"/>
    <mergeCell ref="K143:K145"/>
    <mergeCell ref="J138:J140"/>
    <mergeCell ref="K138:K140"/>
    <mergeCell ref="K127:K128"/>
    <mergeCell ref="M141:M142"/>
    <mergeCell ref="N141:N142"/>
    <mergeCell ref="M135:M137"/>
    <mergeCell ref="M138:M140"/>
    <mergeCell ref="J132:J134"/>
    <mergeCell ref="K132:K134"/>
    <mergeCell ref="N129:N131"/>
    <mergeCell ref="M132:M134"/>
    <mergeCell ref="N132:N134"/>
    <mergeCell ref="M3:M5"/>
    <mergeCell ref="N3:N5"/>
    <mergeCell ref="M6:M8"/>
    <mergeCell ref="N6:N8"/>
    <mergeCell ref="N83:N90"/>
    <mergeCell ref="M80:M82"/>
    <mergeCell ref="N80:N82"/>
    <mergeCell ref="M68:M69"/>
    <mergeCell ref="N68:N69"/>
    <mergeCell ref="M75:M77"/>
    <mergeCell ref="N75:N77"/>
    <mergeCell ref="M73:M74"/>
    <mergeCell ref="N73:N74"/>
    <mergeCell ref="M78:M79"/>
    <mergeCell ref="N78:N79"/>
    <mergeCell ref="M70:M72"/>
    <mergeCell ref="N70:N72"/>
    <mergeCell ref="M83:M90"/>
    <mergeCell ref="M15:M18"/>
    <mergeCell ref="M19:M21"/>
    <mergeCell ref="M22:M24"/>
    <mergeCell ref="M27:M30"/>
    <mergeCell ref="M34:M35"/>
    <mergeCell ref="M53:M55"/>
    <mergeCell ref="H6:H8"/>
    <mergeCell ref="H3:H5"/>
    <mergeCell ref="N50:N52"/>
    <mergeCell ref="M47:M49"/>
    <mergeCell ref="N47:N49"/>
    <mergeCell ref="N22:N24"/>
    <mergeCell ref="M25:M26"/>
    <mergeCell ref="N25:N26"/>
    <mergeCell ref="N27:N30"/>
    <mergeCell ref="M31:M33"/>
    <mergeCell ref="N31:N33"/>
    <mergeCell ref="M38:M39"/>
    <mergeCell ref="N38:N39"/>
    <mergeCell ref="M40:M42"/>
    <mergeCell ref="N40:N42"/>
    <mergeCell ref="I3:I5"/>
    <mergeCell ref="J3:J5"/>
    <mergeCell ref="K3:K5"/>
    <mergeCell ref="I6:I8"/>
    <mergeCell ref="J6:J8"/>
    <mergeCell ref="K6:K8"/>
    <mergeCell ref="J25:J26"/>
    <mergeCell ref="K25:K26"/>
    <mergeCell ref="I31:I33"/>
    <mergeCell ref="M50:M52"/>
    <mergeCell ref="E113:E115"/>
    <mergeCell ref="E105:E106"/>
    <mergeCell ref="F105:F106"/>
    <mergeCell ref="G105:G106"/>
    <mergeCell ref="E107:E108"/>
    <mergeCell ref="F107:F108"/>
    <mergeCell ref="K107:K108"/>
    <mergeCell ref="E109:E110"/>
    <mergeCell ref="F109:F110"/>
    <mergeCell ref="J107:J108"/>
    <mergeCell ref="I113:I115"/>
    <mergeCell ref="H113:H115"/>
    <mergeCell ref="G113:G115"/>
    <mergeCell ref="F113:F115"/>
    <mergeCell ref="G109:G110"/>
    <mergeCell ref="M111:M112"/>
    <mergeCell ref="E103:E104"/>
    <mergeCell ref="F103:F104"/>
    <mergeCell ref="G103:G104"/>
    <mergeCell ref="I109:I110"/>
    <mergeCell ref="J109:J110"/>
    <mergeCell ref="J111:J112"/>
    <mergeCell ref="K111:K112"/>
    <mergeCell ref="E118:E120"/>
    <mergeCell ref="F118:F120"/>
    <mergeCell ref="G118:G120"/>
    <mergeCell ref="F121:F123"/>
    <mergeCell ref="G121:G123"/>
    <mergeCell ref="H121:H123"/>
    <mergeCell ref="I121:I123"/>
    <mergeCell ref="F111:F112"/>
    <mergeCell ref="G111:G112"/>
    <mergeCell ref="E116:E117"/>
    <mergeCell ref="F116:F117"/>
    <mergeCell ref="G116:G117"/>
    <mergeCell ref="H116:H117"/>
    <mergeCell ref="E121:E123"/>
    <mergeCell ref="H111:H112"/>
    <mergeCell ref="I111:I112"/>
    <mergeCell ref="A1:P1"/>
    <mergeCell ref="C3:C10"/>
    <mergeCell ref="E3:E5"/>
    <mergeCell ref="E6:E8"/>
    <mergeCell ref="E9:E10"/>
    <mergeCell ref="F3:F5"/>
    <mergeCell ref="F6:F8"/>
    <mergeCell ref="G3:G5"/>
    <mergeCell ref="G6:G8"/>
    <mergeCell ref="F9:F10"/>
    <mergeCell ref="G9:G10"/>
    <mergeCell ref="H9:H10"/>
    <mergeCell ref="I9:I10"/>
    <mergeCell ref="J9:J10"/>
    <mergeCell ref="K9:K10"/>
    <mergeCell ref="A3:A37"/>
    <mergeCell ref="C11:C18"/>
    <mergeCell ref="E11:E14"/>
    <mergeCell ref="F11:F14"/>
    <mergeCell ref="G11:G14"/>
    <mergeCell ref="H11:H14"/>
    <mergeCell ref="I11:I14"/>
    <mergeCell ref="J11:J14"/>
    <mergeCell ref="K11:K14"/>
    <mergeCell ref="E15:E18"/>
    <mergeCell ref="F15:F18"/>
    <mergeCell ref="G15:G18"/>
    <mergeCell ref="H15:H18"/>
    <mergeCell ref="I15:I18"/>
    <mergeCell ref="J15:J18"/>
    <mergeCell ref="K15:K18"/>
    <mergeCell ref="K19:K21"/>
    <mergeCell ref="E22:E24"/>
    <mergeCell ref="F22:F24"/>
    <mergeCell ref="G22:G24"/>
    <mergeCell ref="H22:H24"/>
    <mergeCell ref="I22:I24"/>
    <mergeCell ref="J22:J24"/>
    <mergeCell ref="K22:K24"/>
    <mergeCell ref="E19:E21"/>
    <mergeCell ref="G19:G21"/>
    <mergeCell ref="F19:F21"/>
    <mergeCell ref="H19:H21"/>
    <mergeCell ref="I19:I21"/>
    <mergeCell ref="J19:J21"/>
    <mergeCell ref="F27:F30"/>
    <mergeCell ref="G27:G30"/>
    <mergeCell ref="H27:H30"/>
    <mergeCell ref="I27:I30"/>
    <mergeCell ref="J27:J30"/>
    <mergeCell ref="K27:K30"/>
    <mergeCell ref="E25:E26"/>
    <mergeCell ref="F25:F26"/>
    <mergeCell ref="G25:G26"/>
    <mergeCell ref="H25:H26"/>
    <mergeCell ref="J31:J33"/>
    <mergeCell ref="K31:K33"/>
    <mergeCell ref="C34:C37"/>
    <mergeCell ref="E34:E35"/>
    <mergeCell ref="F34:F35"/>
    <mergeCell ref="G34:G35"/>
    <mergeCell ref="H34:H35"/>
    <mergeCell ref="I34:I35"/>
    <mergeCell ref="J34:J35"/>
    <mergeCell ref="K34:K35"/>
    <mergeCell ref="E36:E37"/>
    <mergeCell ref="F36:F37"/>
    <mergeCell ref="G36:G37"/>
    <mergeCell ref="E31:E33"/>
    <mergeCell ref="F31:F33"/>
    <mergeCell ref="G31:G33"/>
    <mergeCell ref="H31:H33"/>
    <mergeCell ref="C19:C33"/>
    <mergeCell ref="H36:H37"/>
    <mergeCell ref="I36:I37"/>
    <mergeCell ref="J36:J37"/>
    <mergeCell ref="K36:K37"/>
    <mergeCell ref="I25:I26"/>
    <mergeCell ref="E27:E30"/>
    <mergeCell ref="J38:J39"/>
    <mergeCell ref="K38:K39"/>
    <mergeCell ref="I43:I46"/>
    <mergeCell ref="J43:J46"/>
    <mergeCell ref="K43:K46"/>
    <mergeCell ref="E40:E42"/>
    <mergeCell ref="F40:F42"/>
    <mergeCell ref="G40:G42"/>
    <mergeCell ref="H40:H42"/>
    <mergeCell ref="I40:I42"/>
    <mergeCell ref="J40:J42"/>
    <mergeCell ref="K40:K42"/>
    <mergeCell ref="E43:E46"/>
    <mergeCell ref="F43:F46"/>
    <mergeCell ref="G43:G46"/>
    <mergeCell ref="H43:H46"/>
    <mergeCell ref="E38:E39"/>
    <mergeCell ref="F38:F39"/>
    <mergeCell ref="G38:G39"/>
    <mergeCell ref="H38:H39"/>
    <mergeCell ref="I38:I39"/>
    <mergeCell ref="J53:J55"/>
    <mergeCell ref="K53:K55"/>
    <mergeCell ref="E50:E52"/>
    <mergeCell ref="G50:G52"/>
    <mergeCell ref="F50:F52"/>
    <mergeCell ref="H50:H52"/>
    <mergeCell ref="E47:E49"/>
    <mergeCell ref="F47:F49"/>
    <mergeCell ref="G47:G49"/>
    <mergeCell ref="H47:H49"/>
    <mergeCell ref="I47:I49"/>
    <mergeCell ref="J47:J49"/>
    <mergeCell ref="K47:K49"/>
    <mergeCell ref="E64:E65"/>
    <mergeCell ref="F64:F65"/>
    <mergeCell ref="G64:G65"/>
    <mergeCell ref="F56:F58"/>
    <mergeCell ref="G56:G58"/>
    <mergeCell ref="H56:H58"/>
    <mergeCell ref="I56:I58"/>
    <mergeCell ref="E59:E60"/>
    <mergeCell ref="F59:F60"/>
    <mergeCell ref="G59:G60"/>
    <mergeCell ref="E62:E63"/>
    <mergeCell ref="F62:F63"/>
    <mergeCell ref="G62:G63"/>
    <mergeCell ref="H62:H63"/>
    <mergeCell ref="I62:I63"/>
    <mergeCell ref="F124:F126"/>
    <mergeCell ref="E127:E128"/>
    <mergeCell ref="F127:F128"/>
    <mergeCell ref="G127:G128"/>
    <mergeCell ref="H127:H128"/>
    <mergeCell ref="H124:H126"/>
    <mergeCell ref="E124:E126"/>
    <mergeCell ref="H109:H110"/>
    <mergeCell ref="I78:I79"/>
    <mergeCell ref="E78:E79"/>
    <mergeCell ref="F78:F79"/>
    <mergeCell ref="G78:G79"/>
    <mergeCell ref="H78:H79"/>
    <mergeCell ref="I105:I106"/>
    <mergeCell ref="E111:E112"/>
    <mergeCell ref="E83:E90"/>
    <mergeCell ref="F83:F90"/>
    <mergeCell ref="G83:G90"/>
    <mergeCell ref="E91:E95"/>
    <mergeCell ref="F91:F95"/>
    <mergeCell ref="G91:G95"/>
    <mergeCell ref="E96:E102"/>
    <mergeCell ref="F96:F102"/>
    <mergeCell ref="G96:G102"/>
    <mergeCell ref="I127:I128"/>
    <mergeCell ref="E132:E134"/>
    <mergeCell ref="I73:I74"/>
    <mergeCell ref="J73:J74"/>
    <mergeCell ref="G107:G108"/>
    <mergeCell ref="H107:H108"/>
    <mergeCell ref="I107:I108"/>
    <mergeCell ref="H105:H106"/>
    <mergeCell ref="J91:J95"/>
    <mergeCell ref="H91:H95"/>
    <mergeCell ref="I91:I95"/>
    <mergeCell ref="H83:H90"/>
    <mergeCell ref="I83:I90"/>
    <mergeCell ref="J83:J90"/>
    <mergeCell ref="H80:H82"/>
    <mergeCell ref="I80:I82"/>
    <mergeCell ref="J80:J82"/>
    <mergeCell ref="H96:H102"/>
    <mergeCell ref="E129:E131"/>
    <mergeCell ref="J127:J128"/>
    <mergeCell ref="G129:G131"/>
    <mergeCell ref="J116:J117"/>
    <mergeCell ref="J121:J123"/>
    <mergeCell ref="G124:G126"/>
    <mergeCell ref="F135:F137"/>
    <mergeCell ref="G135:G137"/>
    <mergeCell ref="H135:H137"/>
    <mergeCell ref="I135:I137"/>
    <mergeCell ref="J135:J137"/>
    <mergeCell ref="K135:K137"/>
    <mergeCell ref="F132:F134"/>
    <mergeCell ref="G132:G134"/>
    <mergeCell ref="H132:H134"/>
    <mergeCell ref="I132:I134"/>
    <mergeCell ref="C53:C55"/>
    <mergeCell ref="E146:E147"/>
    <mergeCell ref="B11:B18"/>
    <mergeCell ref="H64:H65"/>
    <mergeCell ref="I64:I65"/>
    <mergeCell ref="J64:J65"/>
    <mergeCell ref="K64:K65"/>
    <mergeCell ref="J56:J58"/>
    <mergeCell ref="K56:K58"/>
    <mergeCell ref="H59:H60"/>
    <mergeCell ref="I59:I60"/>
    <mergeCell ref="J59:J60"/>
    <mergeCell ref="K59:K60"/>
    <mergeCell ref="J62:J63"/>
    <mergeCell ref="K62:K63"/>
    <mergeCell ref="E56:E58"/>
    <mergeCell ref="G146:G147"/>
    <mergeCell ref="F146:F147"/>
    <mergeCell ref="E138:E140"/>
    <mergeCell ref="F138:F140"/>
    <mergeCell ref="G138:G140"/>
    <mergeCell ref="H138:H140"/>
    <mergeCell ref="I138:I140"/>
    <mergeCell ref="J141:J142"/>
    <mergeCell ref="A38:A55"/>
    <mergeCell ref="L31:L33"/>
    <mergeCell ref="L34:L35"/>
    <mergeCell ref="L36:L37"/>
    <mergeCell ref="L38:L39"/>
    <mergeCell ref="N9:N10"/>
    <mergeCell ref="N34:N35"/>
    <mergeCell ref="M36:M37"/>
    <mergeCell ref="N36:N37"/>
    <mergeCell ref="M11:M14"/>
    <mergeCell ref="N11:N14"/>
    <mergeCell ref="N15:N18"/>
    <mergeCell ref="N19:N21"/>
    <mergeCell ref="M9:M10"/>
    <mergeCell ref="M43:M46"/>
    <mergeCell ref="N43:N46"/>
    <mergeCell ref="I50:I52"/>
    <mergeCell ref="J50:J52"/>
    <mergeCell ref="K50:K52"/>
    <mergeCell ref="E53:E55"/>
    <mergeCell ref="F53:F55"/>
    <mergeCell ref="G53:G55"/>
    <mergeCell ref="H53:H55"/>
    <mergeCell ref="I53:I55"/>
    <mergeCell ref="L43:L46"/>
    <mergeCell ref="L47:L49"/>
    <mergeCell ref="L50:L52"/>
    <mergeCell ref="L53:L55"/>
    <mergeCell ref="L56:L58"/>
    <mergeCell ref="L3:L5"/>
    <mergeCell ref="L6:L8"/>
    <mergeCell ref="L9:L10"/>
    <mergeCell ref="L11:L14"/>
    <mergeCell ref="L15:L18"/>
    <mergeCell ref="L19:L21"/>
    <mergeCell ref="L22:L24"/>
    <mergeCell ref="L25:L26"/>
    <mergeCell ref="L27:L30"/>
    <mergeCell ref="L40:L42"/>
    <mergeCell ref="L59:L60"/>
    <mergeCell ref="L62:L63"/>
    <mergeCell ref="L64:L65"/>
    <mergeCell ref="L83:L90"/>
    <mergeCell ref="L91:L95"/>
    <mergeCell ref="L105:L106"/>
    <mergeCell ref="L107:L108"/>
    <mergeCell ref="L109:L110"/>
    <mergeCell ref="L111:L112"/>
    <mergeCell ref="L75:L77"/>
    <mergeCell ref="L73:L74"/>
    <mergeCell ref="L78:L79"/>
    <mergeCell ref="L80:L82"/>
    <mergeCell ref="L68:L69"/>
    <mergeCell ref="L70:L72"/>
    <mergeCell ref="E151:E153"/>
    <mergeCell ref="F151:F153"/>
    <mergeCell ref="G151:G153"/>
    <mergeCell ref="H151:H153"/>
    <mergeCell ref="I151:I153"/>
    <mergeCell ref="G143:G145"/>
    <mergeCell ref="H143:H145"/>
    <mergeCell ref="I143:I145"/>
    <mergeCell ref="N53:N55"/>
    <mergeCell ref="M56:M58"/>
    <mergeCell ref="N56:N58"/>
    <mergeCell ref="M59:M60"/>
    <mergeCell ref="N59:N60"/>
    <mergeCell ref="M62:M63"/>
    <mergeCell ref="N62:N63"/>
    <mergeCell ref="M64:M65"/>
    <mergeCell ref="N64:N65"/>
    <mergeCell ref="L113:L115"/>
    <mergeCell ref="L116:L117"/>
    <mergeCell ref="M113:M115"/>
    <mergeCell ref="N113:N115"/>
    <mergeCell ref="M116:M117"/>
    <mergeCell ref="N116:N117"/>
    <mergeCell ref="N111:N112"/>
    <mergeCell ref="E68:E69"/>
    <mergeCell ref="F68:F69"/>
    <mergeCell ref="J78:J79"/>
    <mergeCell ref="K78:K79"/>
    <mergeCell ref="E75:E77"/>
    <mergeCell ref="F75:F77"/>
    <mergeCell ref="G75:G77"/>
    <mergeCell ref="H75:H77"/>
    <mergeCell ref="I148:I150"/>
    <mergeCell ref="I124:I126"/>
    <mergeCell ref="J124:J126"/>
    <mergeCell ref="K124:K126"/>
    <mergeCell ref="H118:H120"/>
    <mergeCell ref="I118:I120"/>
    <mergeCell ref="I116:I117"/>
    <mergeCell ref="K141:K142"/>
    <mergeCell ref="H129:H131"/>
    <mergeCell ref="I129:I131"/>
    <mergeCell ref="J129:J131"/>
    <mergeCell ref="K129:K131"/>
    <mergeCell ref="E141:E142"/>
    <mergeCell ref="G141:G142"/>
    <mergeCell ref="F129:F131"/>
    <mergeCell ref="E135:E137"/>
    <mergeCell ref="C70:C74"/>
    <mergeCell ref="E70:E72"/>
    <mergeCell ref="F70:F72"/>
    <mergeCell ref="G70:G72"/>
    <mergeCell ref="H70:H72"/>
    <mergeCell ref="I70:I72"/>
    <mergeCell ref="J70:J72"/>
    <mergeCell ref="E80:E82"/>
    <mergeCell ref="F80:F82"/>
    <mergeCell ref="G80:G82"/>
    <mergeCell ref="D80:D82"/>
    <mergeCell ref="C75:C77"/>
    <mergeCell ref="I75:I77"/>
    <mergeCell ref="J75:J77"/>
    <mergeCell ref="E73:E74"/>
    <mergeCell ref="F73:F74"/>
    <mergeCell ref="G73:G74"/>
    <mergeCell ref="H73:H74"/>
    <mergeCell ref="K118:K120"/>
    <mergeCell ref="K83:K90"/>
    <mergeCell ref="K91:K95"/>
    <mergeCell ref="K80:K82"/>
    <mergeCell ref="K96:K102"/>
    <mergeCell ref="K103:K104"/>
    <mergeCell ref="G68:G69"/>
    <mergeCell ref="H68:H69"/>
    <mergeCell ref="I68:I69"/>
    <mergeCell ref="K70:K72"/>
    <mergeCell ref="K75:K77"/>
    <mergeCell ref="J68:J69"/>
    <mergeCell ref="K68:K69"/>
    <mergeCell ref="K105:K106"/>
    <mergeCell ref="J105:J106"/>
    <mergeCell ref="I96:I102"/>
    <mergeCell ref="J96:J102"/>
    <mergeCell ref="H103:H104"/>
    <mergeCell ref="I103:I104"/>
    <mergeCell ref="J103:J104"/>
    <mergeCell ref="K113:K115"/>
    <mergeCell ref="J113:J115"/>
    <mergeCell ref="K116:K117"/>
    <mergeCell ref="K73:K74"/>
    <mergeCell ref="J151:J153"/>
    <mergeCell ref="N148:N150"/>
    <mergeCell ref="N151:N153"/>
    <mergeCell ref="J146:J147"/>
    <mergeCell ref="J154:J156"/>
    <mergeCell ref="M118:M120"/>
    <mergeCell ref="M121:M123"/>
    <mergeCell ref="M124:M126"/>
    <mergeCell ref="N118:N120"/>
    <mergeCell ref="N121:N123"/>
    <mergeCell ref="N124:N126"/>
    <mergeCell ref="L118:L120"/>
    <mergeCell ref="L121:L123"/>
    <mergeCell ref="L148:L150"/>
    <mergeCell ref="L151:L153"/>
    <mergeCell ref="L154:L156"/>
    <mergeCell ref="L143:L145"/>
    <mergeCell ref="L146:L147"/>
    <mergeCell ref="K154:K156"/>
    <mergeCell ref="J148:J150"/>
    <mergeCell ref="K148:K150"/>
    <mergeCell ref="K151:K153"/>
    <mergeCell ref="K146:K147"/>
    <mergeCell ref="J118:J120"/>
    <mergeCell ref="Q3:Q5"/>
    <mergeCell ref="R3:R5"/>
    <mergeCell ref="S3:S5"/>
    <mergeCell ref="Q6:Q8"/>
    <mergeCell ref="R6:R8"/>
    <mergeCell ref="S6:S8"/>
    <mergeCell ref="Q9:Q10"/>
    <mergeCell ref="R9:R10"/>
    <mergeCell ref="S9:S10"/>
    <mergeCell ref="Q11:Q14"/>
    <mergeCell ref="R11:R14"/>
    <mergeCell ref="S11:S14"/>
    <mergeCell ref="Q15:Q18"/>
    <mergeCell ref="R15:R18"/>
    <mergeCell ref="S15:S18"/>
    <mergeCell ref="Q19:Q21"/>
    <mergeCell ref="R19:R21"/>
    <mergeCell ref="S19:S21"/>
    <mergeCell ref="Q22:Q24"/>
    <mergeCell ref="R22:R24"/>
    <mergeCell ref="S22:S24"/>
    <mergeCell ref="Q25:Q26"/>
    <mergeCell ref="R25:R26"/>
    <mergeCell ref="S25:S26"/>
    <mergeCell ref="Q27:Q30"/>
    <mergeCell ref="R27:R30"/>
    <mergeCell ref="Q31:Q33"/>
    <mergeCell ref="R31:R33"/>
    <mergeCell ref="S31:S33"/>
    <mergeCell ref="S27:S30"/>
    <mergeCell ref="Q34:Q35"/>
    <mergeCell ref="R34:R35"/>
    <mergeCell ref="S34:S35"/>
    <mergeCell ref="Q36:Q37"/>
    <mergeCell ref="R36:R37"/>
    <mergeCell ref="S36:S37"/>
    <mergeCell ref="Q38:Q39"/>
    <mergeCell ref="R38:R39"/>
    <mergeCell ref="S38:S39"/>
    <mergeCell ref="Q40:Q42"/>
    <mergeCell ref="R40:R42"/>
    <mergeCell ref="S40:S42"/>
    <mergeCell ref="Q43:Q46"/>
    <mergeCell ref="R43:R46"/>
    <mergeCell ref="S43:S46"/>
    <mergeCell ref="Q47:Q49"/>
    <mergeCell ref="R47:R49"/>
    <mergeCell ref="S47:S49"/>
    <mergeCell ref="Q50:Q52"/>
    <mergeCell ref="R50:R52"/>
    <mergeCell ref="S50:S52"/>
    <mergeCell ref="Q53:Q55"/>
    <mergeCell ref="R53:R55"/>
    <mergeCell ref="S53:S55"/>
    <mergeCell ref="Q56:Q58"/>
    <mergeCell ref="R56:R58"/>
    <mergeCell ref="S56:S58"/>
    <mergeCell ref="Q70:Q72"/>
    <mergeCell ref="R70:R72"/>
    <mergeCell ref="S70:S72"/>
    <mergeCell ref="Q73:Q74"/>
    <mergeCell ref="R73:R74"/>
    <mergeCell ref="S73:S74"/>
    <mergeCell ref="Q62:Q63"/>
    <mergeCell ref="R62:R63"/>
    <mergeCell ref="S62:S63"/>
    <mergeCell ref="Q59:Q60"/>
    <mergeCell ref="R59:R60"/>
    <mergeCell ref="S59:S60"/>
    <mergeCell ref="Q64:Q65"/>
    <mergeCell ref="R64:R65"/>
    <mergeCell ref="S64:S65"/>
    <mergeCell ref="Q68:Q69"/>
    <mergeCell ref="R68:R69"/>
    <mergeCell ref="S68:S69"/>
    <mergeCell ref="Q75:Q77"/>
    <mergeCell ref="R75:R77"/>
    <mergeCell ref="S75:S77"/>
    <mergeCell ref="Q78:Q79"/>
    <mergeCell ref="R78:R79"/>
    <mergeCell ref="S78:S79"/>
    <mergeCell ref="Q80:Q82"/>
    <mergeCell ref="R80:R82"/>
    <mergeCell ref="S80:S82"/>
    <mergeCell ref="Q83:Q90"/>
    <mergeCell ref="R83:R90"/>
    <mergeCell ref="S83:S90"/>
    <mergeCell ref="Q91:Q95"/>
    <mergeCell ref="R91:R95"/>
    <mergeCell ref="S91:S95"/>
    <mergeCell ref="Q96:Q102"/>
    <mergeCell ref="R96:R102"/>
    <mergeCell ref="S96:S102"/>
    <mergeCell ref="Q103:Q104"/>
    <mergeCell ref="R103:R104"/>
    <mergeCell ref="S103:S104"/>
    <mergeCell ref="Q105:Q106"/>
    <mergeCell ref="R105:R106"/>
    <mergeCell ref="S105:S106"/>
    <mergeCell ref="Q107:Q108"/>
    <mergeCell ref="R107:R108"/>
    <mergeCell ref="S107:S108"/>
    <mergeCell ref="Q109:Q110"/>
    <mergeCell ref="R109:R110"/>
    <mergeCell ref="S109:S110"/>
    <mergeCell ref="Q111:Q112"/>
    <mergeCell ref="R111:R112"/>
    <mergeCell ref="S111:S112"/>
    <mergeCell ref="Q113:Q115"/>
    <mergeCell ref="R113:R115"/>
    <mergeCell ref="S113:S115"/>
    <mergeCell ref="Q116:Q117"/>
    <mergeCell ref="R116:R117"/>
    <mergeCell ref="S116:S117"/>
    <mergeCell ref="Q118:Q120"/>
    <mergeCell ref="R118:R120"/>
    <mergeCell ref="S118:S120"/>
    <mergeCell ref="Q121:Q123"/>
    <mergeCell ref="R121:R123"/>
    <mergeCell ref="S121:S123"/>
    <mergeCell ref="Q124:Q126"/>
    <mergeCell ref="R124:R126"/>
    <mergeCell ref="S124:S126"/>
    <mergeCell ref="Q127:Q128"/>
    <mergeCell ref="R127:R128"/>
    <mergeCell ref="S127:S128"/>
    <mergeCell ref="Q129:Q131"/>
    <mergeCell ref="R129:R131"/>
    <mergeCell ref="S129:S131"/>
    <mergeCell ref="Q132:Q134"/>
    <mergeCell ref="R132:R134"/>
    <mergeCell ref="S132:S134"/>
    <mergeCell ref="Q135:Q137"/>
    <mergeCell ref="R135:R137"/>
    <mergeCell ref="S135:S137"/>
    <mergeCell ref="Q138:Q140"/>
    <mergeCell ref="R138:R140"/>
    <mergeCell ref="S138:S140"/>
    <mergeCell ref="Q141:Q142"/>
    <mergeCell ref="R141:R142"/>
    <mergeCell ref="S141:S142"/>
    <mergeCell ref="Q143:Q145"/>
    <mergeCell ref="R143:R145"/>
    <mergeCell ref="S143:S145"/>
    <mergeCell ref="Q146:Q147"/>
    <mergeCell ref="R146:R147"/>
    <mergeCell ref="S146:S147"/>
    <mergeCell ref="Q148:Q150"/>
    <mergeCell ref="R148:R150"/>
    <mergeCell ref="S148:S150"/>
    <mergeCell ref="Q151:Q153"/>
    <mergeCell ref="R151:R153"/>
    <mergeCell ref="S151:S153"/>
    <mergeCell ref="R154:R156"/>
    <mergeCell ref="S154:S156"/>
    <mergeCell ref="Q154:Q15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 Visión</vt:lpstr>
      <vt:lpstr>Epicas</vt:lpstr>
      <vt:lpstr>HU + Criterios Aceptacion</vt:lpstr>
    </vt:vector>
  </TitlesOfParts>
  <Company>Dixguel03</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2025-04-15T20:57:27Z</dcterms:created>
  <dcterms:modified xsi:type="dcterms:W3CDTF">2025-10-21T20:10:28Z</dcterms:modified>
</cp:coreProperties>
</file>